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ortada" sheetId="1" state="visible" r:id="rId3"/>
    <sheet name="Instrucciones" sheetId="2" state="visible" r:id="rId4"/>
    <sheet name="Configuracion" sheetId="3" state="visible" r:id="rId5"/>
    <sheet name="Categorias" sheetId="4" state="visible" r:id="rId6"/>
    <sheet name="Flujo de Caja" sheetId="5" state="visible" r:id="rId7"/>
    <sheet name="Resumen" sheetId="6" state="visible" r:id="rId8"/>
    <sheet name="Dashboard" sheetId="7" state="visible" r:id="rId9"/>
  </sheets>
  <definedNames>
    <definedName function="false" hidden="false" name="FactorConversion" vbProcedure="false">Configuracion!$C$12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<sst xmlns="http://schemas.openxmlformats.org/spreadsheetml/2006/main" count="116" uniqueCount="114">
  <si>
    <t xml:space="preserve">LÍNEA DE PRODUCTOS DIGITALES · PLANTILLAS EXCEL</t>
  </si>
  <si>
    <t xml:space="preserve">FLUJO DE CAJA PARA NEGOCIOS</t>
  </si>
  <si>
    <t xml:space="preserve">Proyecta y registra las entradas y salidas de efectivo de tu negocio mes a mes, y visualiza tu saldo de caja en todo momento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</si>
  <si>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</si>
  <si>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</si>
  <si>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</si>
  <si>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Gráficos: pastel (egresos por categoría), barras y evolución del saldo de caja</t>
  </si>
  <si>
    <t xml:space="preserve">✔  Resumen dinámico tipo tabla dinámica por categoría y por mes</t>
  </si>
  <si>
    <t xml:space="preserve">✔  Saldo de caja proyectado mes a mes (arrastre automático)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</si>
  <si>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</si>
  <si>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</si>
  <si>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</si>
  <si>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</si>
  <si>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 y ejemplos precargados</t>
  </si>
  <si>
    <t xml:space="preserve">Producto digital · Precio orientativo: $12.99 USD  |  Licencia de uso comercial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</si>
  <si>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</si>
  <si>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</si>
  <si>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</si>
  <si>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Define el símbolo de tu moneda local, el tipo de cambio, el saldo de caja inicial de tu negocio y si la plantilla se muestra en moneda LOCAL o USD.</t>
  </si>
  <si>
    <t xml:space="preserve">2. Categorías</t>
  </si>
  <si>
    <t xml:space="preserve">En la hoja 'Categorías' revisa o edita las categorías de ingreso/egreso de efectivo de tu negocio.</t>
  </si>
  <si>
    <t xml:space="preserve">3. Flujo de Caja</t>
  </si>
  <si>
    <t xml:space="preserve">En la hoja 'Flujo de Caja' registra, mes a mes, cuánto efectivo entró y salió en cada categoría. La columna 'Total anual' se calcula sola.</t>
  </si>
  <si>
    <t xml:space="preserve">4. Resumen automático</t>
  </si>
  <si>
    <t xml:space="preserve">La hoja 'Resumen' calcula tus ingresos y egresos totales por mes, tu flujo neto y tu saldo de caja proyectado (arrastrando el saldo inicial mes a mes), como una tabla dinámica.</t>
  </si>
  <si>
    <t xml:space="preserve">5. Dashboard</t>
  </si>
  <si>
    <t xml:space="preserve">La hoja 'Dashboard' muestra tu saldo de caja actual, tu flujo neto y gráficos que se actualizan solos: ingresos vs. egresos por mes, egresos por categoría y la curva de tu saldo de caja.</t>
  </si>
  <si>
    <t xml:space="preserve">6. Cambiar de moneda</t>
  </si>
  <si>
    <t xml:space="preserve">Cambia 'Moneda de visualización' en 'Configuración' entre Local y USD: todo se recalcula automáticamente.</t>
  </si>
  <si>
    <t xml:space="preserve">7. Celdas protegidas</t>
  </si>
  <si>
    <t xml:space="preserve">Las hojas están protegidas para que no borres fórmulas por accidente. Solo puedes escribir en las celdas resaltadas en color crema / texto azul. Contraseña de desprotección: plantilla2026.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</si>
  <si>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</si>
  <si>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</si>
  <si>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</si>
  <si>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</si>
  <si>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</si>
  <si>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</si>
  <si>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</si>
  <si>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</si>
  <si>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</si>
  <si>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</si>
  <si>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</si>
  <si>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</si>
  <si>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</t>
  </si>
  <si>
    <t xml:space="preserve">Moneda de visualización</t>
  </si>
  <si>
    <t xml:space="preserve">Local</t>
  </si>
  <si>
    <t xml:space="preserve">Elige LOCAL o USD. Afecta Resumen y Dashboard.</t>
  </si>
  <si>
    <t xml:space="preserve">Saldo de caja inicial</t>
  </si>
  <si>
    <t xml:space="preserve">Efectivo disponible al comenzar el año (caja + bancos).</t>
  </si>
  <si>
    <t xml:space="preserve">Año de análisis</t>
  </si>
  <si>
    <t xml:space="preserve">Año que se usa como referencia en Flujo de Caja.</t>
  </si>
  <si>
    <t xml:space="preserve">Valores calculados (no editar)</t>
  </si>
  <si>
    <t xml:space="preserve">Factor de conversión aplicado</t>
  </si>
  <si>
    <t xml:space="preserve">Vale 1 si vista LOCAL; vale 1/Tipo de cambio si vista USD.</t>
  </si>
  <si>
    <t xml:space="preserve">Símbolo de moneda actual</t>
  </si>
  <si>
    <t xml:space="preserve">Símbolo que verás en el Dashboard según la moneda elegida.</t>
  </si>
  <si>
    <t xml:space="preserve">Cambia 'Moneda de visualización' entre Local y USD para recalcular automáticamente toda la plantilla.</t>
  </si>
  <si>
    <t xml:space="preserve">CATEGORÍAS DE FLUJO DE CAJA</t>
  </si>
  <si>
    <t xml:space="preserve">Categoría (ingreso/egreso)</t>
  </si>
  <si>
    <t xml:space="preserve">Ventas al contado</t>
  </si>
  <si>
    <t xml:space="preserve">Cobros de cuentas por cobrar</t>
  </si>
  <si>
    <t xml:space="preserve">Otros ingresos</t>
  </si>
  <si>
    <t xml:space="preserve">Compra de mercadería/insumos</t>
  </si>
  <si>
    <t xml:space="preserve">Sueldos y planilla</t>
  </si>
  <si>
    <t xml:space="preserve">Alquiler</t>
  </si>
  <si>
    <t xml:space="preserve">Servicios (luz, agua, internet)</t>
  </si>
  <si>
    <t xml:space="preserve">Marketing y publicidad</t>
  </si>
  <si>
    <t xml:space="preserve">Impuestos</t>
  </si>
  <si>
    <t xml:space="preserve">Mantenimiento y otros gastos</t>
  </si>
  <si>
    <t xml:space="preserve">Otros egresos</t>
  </si>
  <si>
    <t xml:space="preserve">Estas categorías deben coincidir, en el mismo orden, con las filas de 'Flujo de Caja'.</t>
  </si>
  <si>
    <t xml:space="preserve">FLUJO DE CAJA MENSUAL (por categoría)</t>
  </si>
  <si>
    <t xml:space="preserve">Categoría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</si>
  <si>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</si>
  <si>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</si>
  <si>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</si>
  <si>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</si>
  <si>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</si>
  <si>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</si>
  <si>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</si>
  <si>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</si>
  <si>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</si>
  <si>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</si>
  <si>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</si>
  <si>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</si>
  <si>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anual</t>
  </si>
  <si>
    <t xml:space="preserve">TOTAL</t>
  </si>
  <si>
    <t xml:space="preserve">RESUMEN DINÁMICO (se actualiza solo)</t>
  </si>
  <si>
    <t xml:space="preserve">TOTAL ANUAL POR CATEGORÍA</t>
  </si>
  <si>
    <t xml:space="preserve">FLUJO DE CAJA MENSUAL Y SALDO PROYECTADO</t>
  </si>
  <si>
    <t xml:space="preserve">Mes</t>
  </si>
  <si>
    <t xml:space="preserve">Ingresos</t>
  </si>
  <si>
    <t xml:space="preserve">Egresos</t>
  </si>
  <si>
    <t xml:space="preserve">Flujo neto</t>
  </si>
  <si>
    <t xml:space="preserve">Saldo inicial</t>
  </si>
  <si>
    <t xml:space="preserve">Saldo final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</si>
  <si>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</si>
  <si>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</si>
  <si>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</si>
  <si>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</si>
  <si>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</si>
  <si>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</si>
  <si>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</si>
  <si>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</si>
  <si>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</si>
  <si>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</si>
  <si>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</si>
  <si>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</si>
  <si>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/ SALDO FINAL DEL AÑO</t>
  </si>
  <si>
    <t xml:space="preserve">DASHBOARD · FLUJO DE CAJA PARA NEGOCIOS</t>
  </si>
  <si>
    <t xml:space="preserve">SALDO DE CAJA INICIAL</t>
  </si>
  <si>
    <t xml:space="preserve">TOTAL INGRESOS (AÑO)</t>
  </si>
  <si>
    <t xml:space="preserve">TOTAL EGRESOS (AÑO)</t>
  </si>
  <si>
    <t xml:space="preserve">SALDO DE CAJA FINAL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</si>
</sst>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#,##0"/>
    <numFmt numFmtId="167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8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CA58D"/>
        <bgColor rgb="FF4299B0"/>
      </patternFill>
    </fill>
    <fill>
      <patternFill patternType="solid">
        <fgColor rgb="FFB23B3B"/>
        <bgColor rgb="FFAB4744"/>
      </patternFill>
    </fill>
    <fill>
      <patternFill patternType="solid">
        <fgColor rgb="FFC9A24B"/>
        <bgColor rgb="FFDC85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B23B3B"/>
      <rgbColor rgb="FFFFF6D9"/>
      <rgbColor rgb="FFF2F4F6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EE3"/>
      <rgbColor rgb="FFFFFF99"/>
      <rgbColor rgb="FF99CCFF"/>
      <rgbColor rgb="FFD09493"/>
      <rgbColor rgb="FFCC99FF"/>
      <rgbColor rgb="FFFFCC99"/>
      <rgbColor rgb="FF4A7EBB"/>
      <rgbColor rgb="FF4299B0"/>
      <rgbColor rgb="FF99CC00"/>
      <rgbColor rgb="FFFFCC00"/>
      <rgbColor rgb="FFC9A24B"/>
      <rgbColor rgb="FFFF6600"/>
      <rgbColor rgb="FF725990"/>
      <rgbColor rgb="FF8AA64F"/>
      <rgbColor rgb="FF003366"/>
      <rgbColor rgb="FF2CA58D"/>
      <rgbColor rgb="FF003300"/>
      <rgbColor rgb="FF1A1A1A"/>
      <rgbColor rgb="FFC0504D"/>
      <rgbColor rgb="FFAB4744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Egresos por categoría (año)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Resumen!$B$10:$B$17</c:f>
              <c:strCache>
                <c:ptCount val="8"/>
                <c:pt idx="0">
                  <c:v>Compra de mercadería/insumos</c:v>
                </c:pt>
                <c:pt idx="1">
                  <c:v>Sueldos y planilla</c:v>
                </c:pt>
                <c:pt idx="2">
                  <c:v>Alquiler</c:v>
                </c:pt>
                <c:pt idx="3">
                  <c:v>Servicios (luz, agua, internet)</c:v>
                </c:pt>
                <c:pt idx="4">
                  <c:v>Marketing y publicidad</c:v>
                </c:pt>
                <c:pt idx="5">
                  <c:v>Impuestos</c:v>
                </c:pt>
                <c:pt idx="6">
                  <c:v>Mantenimiento y otros gastos</c:v>
                </c:pt>
                <c:pt idx="7">
                  <c:v>Otros egresos</c:v>
                </c:pt>
              </c:strCache>
            </c:strRef>
          </c:cat>
          <c:val>
            <c:numRef>
              <c:f>Resumen!$C$10:$C$17</c:f>
              <c:numCache>
                <c:formatCode>#,##0.00</c:formatCode>
                <c:ptCount val="8"/>
                <c:pt idx="0">
                  <c:v>42700</c:v>
                </c:pt>
                <c:pt idx="1">
                  <c:v>42700</c:v>
                </c:pt>
                <c:pt idx="2">
                  <c:v>14400</c:v>
                </c:pt>
                <c:pt idx="3">
                  <c:v>3620</c:v>
                </c:pt>
                <c:pt idx="4">
                  <c:v>5800</c:v>
                </c:pt>
                <c:pt idx="5">
                  <c:v>2400</c:v>
                </c:pt>
                <c:pt idx="6">
                  <c:v>1930</c:v>
                </c:pt>
                <c:pt idx="7">
                  <c:v>1270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vs. egresos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Resumen!C21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Resumen!$B$22:$B$33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Resumen!$C$22:$C$33</c:f>
              <c:numCache>
                <c:formatCode>#,##0.00</c:formatCode>
                <c:ptCount val="12"/>
                <c:pt idx="0">
                  <c:v>9700</c:v>
                </c:pt>
                <c:pt idx="1">
                  <c:v>9800</c:v>
                </c:pt>
                <c:pt idx="2">
                  <c:v>10200</c:v>
                </c:pt>
                <c:pt idx="3">
                  <c:v>9850</c:v>
                </c:pt>
                <c:pt idx="4">
                  <c:v>10350</c:v>
                </c:pt>
                <c:pt idx="5">
                  <c:v>10350</c:v>
                </c:pt>
                <c:pt idx="6">
                  <c:v>10600</c:v>
                </c:pt>
                <c:pt idx="7">
                  <c:v>10850</c:v>
                </c:pt>
                <c:pt idx="8">
                  <c:v>10800</c:v>
                </c:pt>
                <c:pt idx="9">
                  <c:v>10950</c:v>
                </c:pt>
                <c:pt idx="10">
                  <c:v>11650</c:v>
                </c:pt>
                <c:pt idx="11">
                  <c:v>12500</c:v>
                </c:pt>
              </c:numCache>
            </c:numRef>
          </c:val>
        </c:ser>
        <c:ser>
          <c:idx val="1"/>
          <c:order val="1"/>
          <c:tx>
            <c:strRef>
              <c:f>Resumen!D21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Resumen!$B$22:$B$33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Resumen!$D$22:$D$33</c:f>
              <c:numCache>
                <c:formatCode>#,##0.00</c:formatCode>
                <c:ptCount val="12"/>
                <c:pt idx="0">
                  <c:v>9430</c:v>
                </c:pt>
                <c:pt idx="1">
                  <c:v>8870</c:v>
                </c:pt>
                <c:pt idx="2">
                  <c:v>9190</c:v>
                </c:pt>
                <c:pt idx="3">
                  <c:v>9590</c:v>
                </c:pt>
                <c:pt idx="4">
                  <c:v>9110</c:v>
                </c:pt>
                <c:pt idx="5">
                  <c:v>9210</c:v>
                </c:pt>
                <c:pt idx="6">
                  <c:v>9970</c:v>
                </c:pt>
                <c:pt idx="7">
                  <c:v>9230</c:v>
                </c:pt>
                <c:pt idx="8">
                  <c:v>9320</c:v>
                </c:pt>
                <c:pt idx="9">
                  <c:v>10090</c:v>
                </c:pt>
                <c:pt idx="10">
                  <c:v>9690</c:v>
                </c:pt>
                <c:pt idx="11">
                  <c:v>11120</c:v>
                </c:pt>
              </c:numCache>
            </c:numRef>
          </c:val>
        </c:ser>
        <c:gapWidth val="150"/>
        <c:overlap val="0"/>
        <c:axId val="91973940"/>
        <c:axId val="81727847"/>
      </c:barChart>
      <c:catAx>
        <c:axId val="91973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27847"/>
        <c:crosses val="autoZero"/>
        <c:auto val="1"/>
        <c:lblAlgn val="ctr"/>
        <c:lblOffset val="100"/>
        <c:noMultiLvlLbl val="0"/>
      </c:catAx>
      <c:valAx>
        <c:axId val="81727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73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saldo de caja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Resumen!G21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Resumen!$B$22:$B$33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Resumen!$G$22:$G$33</c:f>
              <c:numCache>
                <c:formatCode>#,##0.00</c:formatCode>
                <c:ptCount val="12"/>
                <c:pt idx="0">
                  <c:v>5270</c:v>
                </c:pt>
                <c:pt idx="1">
                  <c:v>6200</c:v>
                </c:pt>
                <c:pt idx="2">
                  <c:v>7210</c:v>
                </c:pt>
                <c:pt idx="3">
                  <c:v>7470</c:v>
                </c:pt>
                <c:pt idx="4">
                  <c:v>8710</c:v>
                </c:pt>
                <c:pt idx="5">
                  <c:v>9850</c:v>
                </c:pt>
                <c:pt idx="6">
                  <c:v>10480</c:v>
                </c:pt>
                <c:pt idx="7">
                  <c:v>12100</c:v>
                </c:pt>
                <c:pt idx="8">
                  <c:v>13580</c:v>
                </c:pt>
                <c:pt idx="9">
                  <c:v>14440</c:v>
                </c:pt>
                <c:pt idx="10">
                  <c:v>16400</c:v>
                </c:pt>
                <c:pt idx="11">
                  <c:v>17780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105319"/>
        <c:axId val="12583037"/>
      </c:lineChart>
      <c:catAx>
        <c:axId val="72105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83037"/>
        <c:crosses val="autoZero"/>
        <c:auto val="1"/>
        <c:lblAlgn val="ctr"/>
        <c:lblOffset val="100"/>
        <c:noMultiLvlLbl val="0"/>
      </c:catAx>
      <c:valAx>
        <c:axId val="12583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053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password="ee36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5" hidden="false" customHeight="false" outlineLevel="0" collapsed="false">
      <c r="B25" s="7" t="s">
        <v>31</v>
      </c>
      <c r="C25" s="7"/>
    </row>
  </sheetData>
  <sheetProtection sheet="true" password="ee36" formatCells="false" formatColumns="false" formatRows="false" insertRows="false" selectLockedCells="true" selectUnlockedCells="true"/>
  <mergeCells count="16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32</v>
      </c>
      <c r="C2" s="8"/>
      <c r="D2" s="8"/>
    </row>
    <row r="4" customFormat="false" ht="21.75" hidden="false" customHeight="true" outlineLevel="0" collapsed="false">
      <c r="B4" s="10" t="s">
        <v>33</v>
      </c>
      <c r="C4" s="10" t="s">
        <v>34</v>
      </c>
      <c r="D4" s="10" t="s">
        <v>35</v>
      </c>
    </row>
    <row r="5" customFormat="false" ht="18" hidden="false" customHeight="true" outlineLevel="0" collapsed="false">
      <c r="B5" s="11" t="s">
        <v>36</v>
      </c>
      <c r="C5" s="12" t="s">
        <v>37</v>
      </c>
      <c r="D5" s="13" t="s">
        <v>38</v>
      </c>
    </row>
    <row r="6" customFormat="false" ht="18" hidden="false" customHeight="true" outlineLevel="0" collapsed="false">
      <c r="B6" s="11" t="s">
        <v>39</v>
      </c>
      <c r="C6" s="12" t="s">
        <v>40</v>
      </c>
      <c r="D6" s="13" t="s">
        <v>41</v>
      </c>
    </row>
    <row r="7" customFormat="false" ht="18" hidden="false" customHeight="true" outlineLevel="0" collapsed="false">
      <c r="B7" s="11" t="s">
        <v>42</v>
      </c>
      <c r="C7" s="12" t="n">
        <v>3.75</v>
      </c>
      <c r="D7" s="13" t="s">
        <v>43</v>
      </c>
    </row>
    <row r="8" customFormat="false" ht="18" hidden="false" customHeight="true" outlineLevel="0" collapsed="false">
      <c r="B8" s="11" t="s">
        <v>44</v>
      </c>
      <c r="C8" s="12" t="s">
        <v>45</v>
      </c>
      <c r="D8" s="13" t="s">
        <v>46</v>
      </c>
    </row>
    <row r="9" customFormat="false" ht="18" hidden="false" customHeight="true" outlineLevel="0" collapsed="false">
      <c r="B9" s="11" t="s">
        <v>47</v>
      </c>
      <c r="C9" s="12" t="n">
        <v>5000</v>
      </c>
      <c r="D9" s="13" t="s">
        <v>48</v>
      </c>
    </row>
    <row r="10" customFormat="false" ht="18" hidden="false" customHeight="true" outlineLevel="0" collapsed="false">
      <c r="B10" s="11" t="s">
        <v>49</v>
      </c>
      <c r="C10" s="12" t="n">
        <v>2026</v>
      </c>
      <c r="D10" s="13" t="s">
        <v>50</v>
      </c>
    </row>
    <row r="11" customFormat="false" ht="18" hidden="false" customHeight="true" outlineLevel="0" collapsed="false">
      <c r="B11" s="14" t="s">
        <v>51</v>
      </c>
      <c r="C11" s="15"/>
      <c r="D11" s="15"/>
    </row>
    <row r="12" customFormat="false" ht="18" hidden="false" customHeight="true" outlineLevel="0" collapsed="false">
      <c r="B12" s="16" t="s">
        <v>52</v>
      </c>
      <c r="C12" s="17" t="n">
        <f aca="false">IF(C8="USD",1/C7,1)</f>
        <v>1</v>
      </c>
      <c r="D12" s="18" t="s">
        <v>53</v>
      </c>
    </row>
    <row r="13" customFormat="false" ht="18" hidden="false" customHeight="true" outlineLevel="0" collapsed="false">
      <c r="B13" s="16" t="s">
        <v>54</v>
      </c>
      <c r="C13" s="19" t="str">
        <f aca="false">IF(C8="USD","US$",C6)</f>
        <v>S/</v>
      </c>
      <c r="D13" s="18" t="s">
        <v>55</v>
      </c>
    </row>
    <row r="15" customFormat="false" ht="15" hidden="false" customHeight="true" outlineLevel="0" collapsed="false">
      <c r="B15" s="20" t="s">
        <v>56</v>
      </c>
      <c r="C15" s="20"/>
      <c r="D15" s="20"/>
    </row>
  </sheetData>
  <sheetProtection sheet="true" password="ee36" formatCells="false" formatColumns="false" formatRows="false" insertRows="false" selectLockedCells="true" selectUnlockedCells="true"/>
  <mergeCells count="2">
    <mergeCell ref="B2:D2"/>
    <mergeCell ref="B15:D15"/>
  </mergeCells>
  <dataValidations count="1">
    <dataValidation allowBlank="false" errorStyle="stop" operator="between" showDropDown="false" showErrorMessage="false" showInputMessage="false" sqref="C8" type="list">
      <formula1>"Local,USD"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3"/>
  </cols>
  <sheetData>
    <row r="2" customFormat="false" ht="25.5" hidden="false" customHeight="true" outlineLevel="0" collapsed="false">
      <c r="B2" s="21" t="s">
        <v>57</v>
      </c>
    </row>
    <row r="4" customFormat="false" ht="21.75" hidden="false" customHeight="true" outlineLevel="0" collapsed="false">
      <c r="B4" s="10" t="s">
        <v>58</v>
      </c>
    </row>
    <row r="5" customFormat="false" ht="15.75" hidden="false" customHeight="true" outlineLevel="0" collapsed="false">
      <c r="B5" s="22" t="s">
        <v>59</v>
      </c>
    </row>
    <row r="6" customFormat="false" ht="15.75" hidden="false" customHeight="true" outlineLevel="0" collapsed="false">
      <c r="B6" s="22" t="s">
        <v>60</v>
      </c>
    </row>
    <row r="7" customFormat="false" ht="15.75" hidden="false" customHeight="true" outlineLevel="0" collapsed="false">
      <c r="B7" s="22" t="s">
        <v>61</v>
      </c>
    </row>
    <row r="8" customFormat="false" ht="15.75" hidden="false" customHeight="true" outlineLevel="0" collapsed="false">
      <c r="B8" s="22" t="s">
        <v>62</v>
      </c>
    </row>
    <row r="9" customFormat="false" ht="15.75" hidden="false" customHeight="true" outlineLevel="0" collapsed="false">
      <c r="B9" s="22" t="s">
        <v>63</v>
      </c>
    </row>
    <row r="10" customFormat="false" ht="15.75" hidden="false" customHeight="true" outlineLevel="0" collapsed="false">
      <c r="B10" s="22" t="s">
        <v>64</v>
      </c>
    </row>
    <row r="11" customFormat="false" ht="15.75" hidden="false" customHeight="true" outlineLevel="0" collapsed="false">
      <c r="B11" s="22" t="s">
        <v>65</v>
      </c>
    </row>
    <row r="12" customFormat="false" ht="15.75" hidden="false" customHeight="true" outlineLevel="0" collapsed="false">
      <c r="B12" s="22" t="s">
        <v>66</v>
      </c>
    </row>
    <row r="13" customFormat="false" ht="15.75" hidden="false" customHeight="true" outlineLevel="0" collapsed="false">
      <c r="B13" s="22" t="s">
        <v>67</v>
      </c>
    </row>
    <row r="14" customFormat="false" ht="15.75" hidden="false" customHeight="true" outlineLevel="0" collapsed="false">
      <c r="B14" s="22" t="s">
        <v>68</v>
      </c>
    </row>
    <row r="15" customFormat="false" ht="15.75" hidden="false" customHeight="true" outlineLevel="0" collapsed="false">
      <c r="B15" s="22" t="s">
        <v>69</v>
      </c>
    </row>
    <row r="17" customFormat="false" ht="22.35" hidden="false" customHeight="false" outlineLevel="0" collapsed="false">
      <c r="B17" s="13" t="s">
        <v>70</v>
      </c>
    </row>
  </sheetData>
  <sheetProtection sheet="true" password="ee36" formatCells="false" formatColumns="false" formatRows="false" insertRows="false" selectLockedCells="true" selectUnlockedCells="true"/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0"/>
    <col collapsed="false" customWidth="true" hidden="false" outlineLevel="0" max="14" min="14" style="0" width="13"/>
  </cols>
  <sheetData>
    <row r="2" customFormat="false" ht="25.5" hidden="false" customHeight="true" outlineLevel="0" collapsed="false">
      <c r="A2" s="8" t="s">
        <v>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19.5" hidden="false" customHeight="tru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78</v>
      </c>
      <c r="H4" s="10" t="s">
        <v>79</v>
      </c>
      <c r="I4" s="10" t="s">
        <v>80</v>
      </c>
      <c r="J4" s="10" t="s">
        <v>81</v>
      </c>
      <c r="K4" s="10" t="s">
        <v>82</v>
      </c>
      <c r="L4" s="10" t="s">
        <v>83</v>
      </c>
      <c r="M4" s="10" t="s">
        <v>84</v>
      </c>
      <c r="N4" s="10" t="s">
        <v>85</v>
      </c>
    </row>
    <row r="5" customFormat="false" ht="15" hidden="false" customHeight="false" outlineLevel="0" collapsed="false">
      <c r="A5" s="23" t="str">
        <f aca="false">Categorias!$B$5</f>
        <v>Ventas al contado</v>
      </c>
      <c r="B5" s="24" t="n">
        <v>8000</v>
      </c>
      <c r="C5" s="24" t="n">
        <v>8200</v>
      </c>
      <c r="D5" s="24" t="n">
        <v>8500</v>
      </c>
      <c r="E5" s="24" t="n">
        <v>8300</v>
      </c>
      <c r="F5" s="24" t="n">
        <v>8600</v>
      </c>
      <c r="G5" s="24" t="n">
        <v>8700</v>
      </c>
      <c r="H5" s="24" t="n">
        <v>8900</v>
      </c>
      <c r="I5" s="24" t="n">
        <v>8800</v>
      </c>
      <c r="J5" s="24" t="n">
        <v>9000</v>
      </c>
      <c r="K5" s="24" t="n">
        <v>9200</v>
      </c>
      <c r="L5" s="24" t="n">
        <v>9500</v>
      </c>
      <c r="M5" s="24" t="n">
        <v>10500</v>
      </c>
      <c r="N5" s="25" t="n">
        <f aca="false">SUM(B5:M5)</f>
        <v>106200</v>
      </c>
    </row>
    <row r="6" customFormat="false" ht="15" hidden="false" customHeight="false" outlineLevel="0" collapsed="false">
      <c r="A6" s="23" t="str">
        <f aca="false">Categorias!$B$6</f>
        <v>Cobros de cuentas por cobrar</v>
      </c>
      <c r="B6" s="24" t="n">
        <v>1500</v>
      </c>
      <c r="C6" s="24" t="n">
        <v>1600</v>
      </c>
      <c r="D6" s="24" t="n">
        <v>1400</v>
      </c>
      <c r="E6" s="24" t="n">
        <v>1550</v>
      </c>
      <c r="F6" s="24" t="n">
        <v>1600</v>
      </c>
      <c r="G6" s="24" t="n">
        <v>1650</v>
      </c>
      <c r="H6" s="24" t="n">
        <v>1700</v>
      </c>
      <c r="I6" s="24" t="n">
        <v>1650</v>
      </c>
      <c r="J6" s="24" t="n">
        <v>1800</v>
      </c>
      <c r="K6" s="24" t="n">
        <v>1750</v>
      </c>
      <c r="L6" s="24" t="n">
        <v>1900</v>
      </c>
      <c r="M6" s="24" t="n">
        <v>2000</v>
      </c>
      <c r="N6" s="25" t="n">
        <f aca="false">SUM(B6:M6)</f>
        <v>20100</v>
      </c>
    </row>
    <row r="7" customFormat="false" ht="15" hidden="false" customHeight="false" outlineLevel="0" collapsed="false">
      <c r="A7" s="23" t="str">
        <f aca="false">Categorias!$B$7</f>
        <v>Otros ingresos</v>
      </c>
      <c r="B7" s="24" t="n">
        <v>200</v>
      </c>
      <c r="C7" s="24" t="n">
        <v>0</v>
      </c>
      <c r="D7" s="24" t="n">
        <v>300</v>
      </c>
      <c r="E7" s="24" t="n">
        <v>0</v>
      </c>
      <c r="F7" s="24" t="n">
        <v>150</v>
      </c>
      <c r="G7" s="24" t="n">
        <v>0</v>
      </c>
      <c r="H7" s="24" t="n">
        <v>0</v>
      </c>
      <c r="I7" s="24" t="n">
        <v>400</v>
      </c>
      <c r="J7" s="24" t="n">
        <v>0</v>
      </c>
      <c r="K7" s="24" t="n">
        <v>0</v>
      </c>
      <c r="L7" s="24" t="n">
        <v>250</v>
      </c>
      <c r="M7" s="24" t="n">
        <v>0</v>
      </c>
      <c r="N7" s="25" t="n">
        <f aca="false">SUM(B7:M7)</f>
        <v>1300</v>
      </c>
    </row>
    <row r="8" customFormat="false" ht="15" hidden="false" customHeight="false" outlineLevel="0" collapsed="false">
      <c r="A8" s="26" t="str">
        <f aca="false">Categorias!$B$8</f>
        <v>Compra de mercadería/insumos</v>
      </c>
      <c r="B8" s="24" t="n">
        <v>3200</v>
      </c>
      <c r="C8" s="24" t="n">
        <v>3300</v>
      </c>
      <c r="D8" s="24" t="n">
        <v>3400</v>
      </c>
      <c r="E8" s="24" t="n">
        <v>3350</v>
      </c>
      <c r="F8" s="24" t="n">
        <v>3450</v>
      </c>
      <c r="G8" s="24" t="n">
        <v>3500</v>
      </c>
      <c r="H8" s="24" t="n">
        <v>3600</v>
      </c>
      <c r="I8" s="24" t="n">
        <v>3550</v>
      </c>
      <c r="J8" s="24" t="n">
        <v>3650</v>
      </c>
      <c r="K8" s="24" t="n">
        <v>3700</v>
      </c>
      <c r="L8" s="24" t="n">
        <v>3800</v>
      </c>
      <c r="M8" s="24" t="n">
        <v>4200</v>
      </c>
      <c r="N8" s="25" t="n">
        <f aca="false">SUM(B8:M8)</f>
        <v>42700</v>
      </c>
    </row>
    <row r="9" customFormat="false" ht="15" hidden="false" customHeight="false" outlineLevel="0" collapsed="false">
      <c r="A9" s="26" t="str">
        <f aca="false">Categorias!$B$9</f>
        <v>Sueldos y planilla</v>
      </c>
      <c r="B9" s="24" t="n">
        <v>3500</v>
      </c>
      <c r="C9" s="24" t="n">
        <v>3500</v>
      </c>
      <c r="D9" s="24" t="n">
        <v>3500</v>
      </c>
      <c r="E9" s="24" t="n">
        <v>3500</v>
      </c>
      <c r="F9" s="24" t="n">
        <v>3500</v>
      </c>
      <c r="G9" s="24" t="n">
        <v>3500</v>
      </c>
      <c r="H9" s="24" t="n">
        <v>3500</v>
      </c>
      <c r="I9" s="24" t="n">
        <v>3500</v>
      </c>
      <c r="J9" s="24" t="n">
        <v>3500</v>
      </c>
      <c r="K9" s="24" t="n">
        <v>3500</v>
      </c>
      <c r="L9" s="24" t="n">
        <v>3500</v>
      </c>
      <c r="M9" s="24" t="n">
        <v>4200</v>
      </c>
      <c r="N9" s="25" t="n">
        <f aca="false">SUM(B9:M9)</f>
        <v>42700</v>
      </c>
    </row>
    <row r="10" customFormat="false" ht="15" hidden="false" customHeight="false" outlineLevel="0" collapsed="false">
      <c r="A10" s="26" t="str">
        <f aca="false">Categorias!$B$10</f>
        <v>Alquiler</v>
      </c>
      <c r="B10" s="24" t="n">
        <v>1200</v>
      </c>
      <c r="C10" s="24" t="n">
        <v>1200</v>
      </c>
      <c r="D10" s="24" t="n">
        <v>1200</v>
      </c>
      <c r="E10" s="24" t="n">
        <v>1200</v>
      </c>
      <c r="F10" s="24" t="n">
        <v>1200</v>
      </c>
      <c r="G10" s="24" t="n">
        <v>1200</v>
      </c>
      <c r="H10" s="24" t="n">
        <v>1200</v>
      </c>
      <c r="I10" s="24" t="n">
        <v>1200</v>
      </c>
      <c r="J10" s="24" t="n">
        <v>1200</v>
      </c>
      <c r="K10" s="24" t="n">
        <v>1200</v>
      </c>
      <c r="L10" s="24" t="n">
        <v>1200</v>
      </c>
      <c r="M10" s="24" t="n">
        <v>1200</v>
      </c>
      <c r="N10" s="25" t="n">
        <f aca="false">SUM(B10:M10)</f>
        <v>14400</v>
      </c>
    </row>
    <row r="11" customFormat="false" ht="15" hidden="false" customHeight="false" outlineLevel="0" collapsed="false">
      <c r="A11" s="26" t="str">
        <f aca="false">Categorias!$B$11</f>
        <v>Servicios (luz, agua, internet)</v>
      </c>
      <c r="B11" s="24" t="n">
        <v>280</v>
      </c>
      <c r="C11" s="24" t="n">
        <v>290</v>
      </c>
      <c r="D11" s="24" t="n">
        <v>270</v>
      </c>
      <c r="E11" s="24" t="n">
        <v>300</v>
      </c>
      <c r="F11" s="24" t="n">
        <v>310</v>
      </c>
      <c r="G11" s="24" t="n">
        <v>320</v>
      </c>
      <c r="H11" s="24" t="n">
        <v>330</v>
      </c>
      <c r="I11" s="24" t="n">
        <v>310</v>
      </c>
      <c r="J11" s="24" t="n">
        <v>300</v>
      </c>
      <c r="K11" s="24" t="n">
        <v>290</v>
      </c>
      <c r="L11" s="24" t="n">
        <v>300</v>
      </c>
      <c r="M11" s="24" t="n">
        <v>320</v>
      </c>
      <c r="N11" s="25" t="n">
        <f aca="false">SUM(B11:M11)</f>
        <v>3620</v>
      </c>
    </row>
    <row r="12" customFormat="false" ht="15" hidden="false" customHeight="false" outlineLevel="0" collapsed="false">
      <c r="A12" s="26" t="str">
        <f aca="false">Categorias!$B$12</f>
        <v>Marketing y publicidad</v>
      </c>
      <c r="B12" s="24" t="n">
        <v>400</v>
      </c>
      <c r="C12" s="24" t="n">
        <v>400</v>
      </c>
      <c r="D12" s="24" t="n">
        <v>500</v>
      </c>
      <c r="E12" s="24" t="n">
        <v>400</v>
      </c>
      <c r="F12" s="24" t="n">
        <v>450</v>
      </c>
      <c r="G12" s="24" t="n">
        <v>400</v>
      </c>
      <c r="H12" s="24" t="n">
        <v>500</v>
      </c>
      <c r="I12" s="24" t="n">
        <v>450</v>
      </c>
      <c r="J12" s="24" t="n">
        <v>400</v>
      </c>
      <c r="K12" s="24" t="n">
        <v>500</v>
      </c>
      <c r="L12" s="24" t="n">
        <v>600</v>
      </c>
      <c r="M12" s="24" t="n">
        <v>800</v>
      </c>
      <c r="N12" s="25" t="n">
        <f aca="false">SUM(B12:M12)</f>
        <v>5800</v>
      </c>
    </row>
    <row r="13" customFormat="false" ht="15" hidden="false" customHeight="false" outlineLevel="0" collapsed="false">
      <c r="A13" s="26" t="str">
        <f aca="false">Categorias!$B$13</f>
        <v>Impuestos</v>
      </c>
      <c r="B13" s="24" t="n">
        <v>600</v>
      </c>
      <c r="C13" s="24" t="n">
        <v>0</v>
      </c>
      <c r="D13" s="24" t="n">
        <v>0</v>
      </c>
      <c r="E13" s="24" t="n">
        <v>600</v>
      </c>
      <c r="F13" s="24" t="n">
        <v>0</v>
      </c>
      <c r="G13" s="24" t="n">
        <v>0</v>
      </c>
      <c r="H13" s="24" t="n">
        <v>600</v>
      </c>
      <c r="I13" s="24" t="n">
        <v>0</v>
      </c>
      <c r="J13" s="24" t="n">
        <v>0</v>
      </c>
      <c r="K13" s="24" t="n">
        <v>600</v>
      </c>
      <c r="L13" s="24" t="n">
        <v>0</v>
      </c>
      <c r="M13" s="24" t="n">
        <v>0</v>
      </c>
      <c r="N13" s="25" t="n">
        <f aca="false">SUM(B13:M13)</f>
        <v>2400</v>
      </c>
    </row>
    <row r="14" customFormat="false" ht="15" hidden="false" customHeight="false" outlineLevel="0" collapsed="false">
      <c r="A14" s="26" t="str">
        <f aca="false">Categorias!$B$14</f>
        <v>Mantenimiento y otros gastos</v>
      </c>
      <c r="B14" s="24" t="n">
        <v>150</v>
      </c>
      <c r="C14" s="24" t="n">
        <v>100</v>
      </c>
      <c r="D14" s="24" t="n">
        <v>200</v>
      </c>
      <c r="E14" s="24" t="n">
        <v>150</v>
      </c>
      <c r="F14" s="24" t="n">
        <v>100</v>
      </c>
      <c r="G14" s="24" t="n">
        <v>180</v>
      </c>
      <c r="H14" s="24" t="n">
        <v>150</v>
      </c>
      <c r="I14" s="24" t="n">
        <v>120</v>
      </c>
      <c r="J14" s="24" t="n">
        <v>150</v>
      </c>
      <c r="K14" s="24" t="n">
        <v>200</v>
      </c>
      <c r="L14" s="24" t="n">
        <v>180</v>
      </c>
      <c r="M14" s="24" t="n">
        <v>250</v>
      </c>
      <c r="N14" s="25" t="n">
        <f aca="false">SUM(B14:M14)</f>
        <v>1930</v>
      </c>
    </row>
    <row r="15" customFormat="false" ht="15" hidden="false" customHeight="false" outlineLevel="0" collapsed="false">
      <c r="A15" s="26" t="str">
        <f aca="false">Categorias!$B$15</f>
        <v>Otros egresos</v>
      </c>
      <c r="B15" s="24" t="n">
        <v>100</v>
      </c>
      <c r="C15" s="24" t="n">
        <v>80</v>
      </c>
      <c r="D15" s="24" t="n">
        <v>120</v>
      </c>
      <c r="E15" s="24" t="n">
        <v>90</v>
      </c>
      <c r="F15" s="24" t="n">
        <v>100</v>
      </c>
      <c r="G15" s="24" t="n">
        <v>110</v>
      </c>
      <c r="H15" s="24" t="n">
        <v>90</v>
      </c>
      <c r="I15" s="24" t="n">
        <v>100</v>
      </c>
      <c r="J15" s="24" t="n">
        <v>120</v>
      </c>
      <c r="K15" s="24" t="n">
        <v>100</v>
      </c>
      <c r="L15" s="24" t="n">
        <v>110</v>
      </c>
      <c r="M15" s="24" t="n">
        <v>150</v>
      </c>
      <c r="N15" s="25" t="n">
        <f aca="false">SUM(B15:M15)</f>
        <v>1270</v>
      </c>
    </row>
    <row r="16" customFormat="false" ht="15" hidden="false" customHeight="false" outlineLevel="0" collapsed="false">
      <c r="A16" s="23" t="s">
        <v>86</v>
      </c>
      <c r="B16" s="25" t="n">
        <f aca="false">SUM(B5:B15)</f>
        <v>19130</v>
      </c>
      <c r="C16" s="25" t="n">
        <f aca="false">SUM(C5:C15)</f>
        <v>18670</v>
      </c>
      <c r="D16" s="25" t="n">
        <f aca="false">SUM(D5:D15)</f>
        <v>19390</v>
      </c>
      <c r="E16" s="25" t="n">
        <f aca="false">SUM(E5:E15)</f>
        <v>19440</v>
      </c>
      <c r="F16" s="25" t="n">
        <f aca="false">SUM(F5:F15)</f>
        <v>19460</v>
      </c>
      <c r="G16" s="25" t="n">
        <f aca="false">SUM(G5:G15)</f>
        <v>19560</v>
      </c>
      <c r="H16" s="25" t="n">
        <f aca="false">SUM(H5:H15)</f>
        <v>20570</v>
      </c>
      <c r="I16" s="25" t="n">
        <f aca="false">SUM(I5:I15)</f>
        <v>20080</v>
      </c>
      <c r="J16" s="25" t="n">
        <f aca="false">SUM(J5:J15)</f>
        <v>20120</v>
      </c>
      <c r="K16" s="25" t="n">
        <f aca="false">SUM(K5:K15)</f>
        <v>21040</v>
      </c>
      <c r="L16" s="25" t="n">
        <f aca="false">SUM(L5:L15)</f>
        <v>21340</v>
      </c>
      <c r="M16" s="25" t="n">
        <f aca="false">SUM(M5:M15)</f>
        <v>23620</v>
      </c>
      <c r="N16" s="25" t="n">
        <f aca="false">SUM(N5:N15)</f>
        <v>242420</v>
      </c>
    </row>
  </sheetData>
  <sheetProtection sheet="true" password="ee36" formatCells="false" formatColumns="false" formatRows="false" insertRows="false" selectLockedCells="true" selectUnlockedCells="true"/>
  <mergeCells count="1">
    <mergeCell ref="A2:N2"/>
  </mergeCells>
  <dataValidations count="1">
    <dataValidation allowBlank="true" error="Ingresa un número igual o mayor a 0." errorStyle="stop" errorTitle="Monto inválido" operator="greaterThanOrEqual" showDropDown="false" showErrorMessage="true" showInputMessage="false" sqref="B5:M15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87</v>
      </c>
      <c r="C2" s="8"/>
    </row>
    <row r="3" customFormat="false" ht="15" hidden="false" customHeight="false" outlineLevel="0" collapsed="false">
      <c r="B3" s="7" t="str">
        <f aca="false">" Moneda: " &amp; Configuracion!$C$8</f>
        <v> Moneda: Local</v>
      </c>
      <c r="C3" s="7"/>
    </row>
    <row r="5" customFormat="false" ht="19.5" hidden="false" customHeight="true" outlineLevel="0" collapsed="false">
      <c r="B5" s="27" t="s">
        <v>88</v>
      </c>
      <c r="C5" s="27"/>
    </row>
    <row r="6" customFormat="false" ht="18" hidden="false" customHeight="true" outlineLevel="0" collapsed="false">
      <c r="B6" s="10" t="s">
        <v>72</v>
      </c>
      <c r="C6" s="10" t="s">
        <v>85</v>
      </c>
    </row>
    <row r="7" customFormat="false" ht="15" hidden="false" customHeight="false" outlineLevel="0" collapsed="false">
      <c r="B7" s="28" t="str">
        <f aca="false">Categorias!$B$5</f>
        <v>Ventas al contado</v>
      </c>
      <c r="C7" s="29" t="n">
        <f aca="false">'Flujo de Caja'!$N$5*Configuracion!$C$12</f>
        <v>106200</v>
      </c>
    </row>
    <row r="8" customFormat="false" ht="15" hidden="false" customHeight="false" outlineLevel="0" collapsed="false">
      <c r="B8" s="28" t="str">
        <f aca="false">Categorias!$B$6</f>
        <v>Cobros de cuentas por cobrar</v>
      </c>
      <c r="C8" s="29" t="n">
        <f aca="false">'Flujo de Caja'!$N$6*Configuracion!$C$12</f>
        <v>20100</v>
      </c>
    </row>
    <row r="9" customFormat="false" ht="15" hidden="false" customHeight="false" outlineLevel="0" collapsed="false">
      <c r="B9" s="28" t="str">
        <f aca="false">Categorias!$B$7</f>
        <v>Otros ingresos</v>
      </c>
      <c r="C9" s="29" t="n">
        <f aca="false">'Flujo de Caja'!$N$7*Configuracion!$C$12</f>
        <v>1300</v>
      </c>
    </row>
    <row r="10" customFormat="false" ht="15" hidden="false" customHeight="false" outlineLevel="0" collapsed="false">
      <c r="B10" s="28" t="str">
        <f aca="false">Categorias!$B$8</f>
        <v>Compra de mercadería/insumos</v>
      </c>
      <c r="C10" s="29" t="n">
        <f aca="false">'Flujo de Caja'!$N$8*Configuracion!$C$12</f>
        <v>42700</v>
      </c>
    </row>
    <row r="11" customFormat="false" ht="15" hidden="false" customHeight="false" outlineLevel="0" collapsed="false">
      <c r="B11" s="28" t="str">
        <f aca="false">Categorias!$B$9</f>
        <v>Sueldos y planilla</v>
      </c>
      <c r="C11" s="29" t="n">
        <f aca="false">'Flujo de Caja'!$N$9*Configuracion!$C$12</f>
        <v>42700</v>
      </c>
    </row>
    <row r="12" customFormat="false" ht="15" hidden="false" customHeight="false" outlineLevel="0" collapsed="false">
      <c r="B12" s="28" t="str">
        <f aca="false">Categorias!$B$10</f>
        <v>Alquiler</v>
      </c>
      <c r="C12" s="29" t="n">
        <f aca="false">'Flujo de Caja'!$N$10*Configuracion!$C$12</f>
        <v>14400</v>
      </c>
    </row>
    <row r="13" customFormat="false" ht="15" hidden="false" customHeight="false" outlineLevel="0" collapsed="false">
      <c r="B13" s="28" t="str">
        <f aca="false">Categorias!$B$11</f>
        <v>Servicios (luz, agua, internet)</v>
      </c>
      <c r="C13" s="29" t="n">
        <f aca="false">'Flujo de Caja'!$N$11*Configuracion!$C$12</f>
        <v>3620</v>
      </c>
    </row>
    <row r="14" customFormat="false" ht="15" hidden="false" customHeight="false" outlineLevel="0" collapsed="false">
      <c r="B14" s="28" t="str">
        <f aca="false">Categorias!$B$12</f>
        <v>Marketing y publicidad</v>
      </c>
      <c r="C14" s="29" t="n">
        <f aca="false">'Flujo de Caja'!$N$12*Configuracion!$C$12</f>
        <v>5800</v>
      </c>
    </row>
    <row r="15" customFormat="false" ht="15" hidden="false" customHeight="false" outlineLevel="0" collapsed="false">
      <c r="B15" s="28" t="str">
        <f aca="false">Categorias!$B$13</f>
        <v>Impuestos</v>
      </c>
      <c r="C15" s="29" t="n">
        <f aca="false">'Flujo de Caja'!$N$13*Configuracion!$C$12</f>
        <v>2400</v>
      </c>
    </row>
    <row r="16" customFormat="false" ht="15" hidden="false" customHeight="false" outlineLevel="0" collapsed="false">
      <c r="B16" s="28" t="str">
        <f aca="false">Categorias!$B$14</f>
        <v>Mantenimiento y otros gastos</v>
      </c>
      <c r="C16" s="29" t="n">
        <f aca="false">'Flujo de Caja'!$N$14*Configuracion!$C$12</f>
        <v>1930</v>
      </c>
    </row>
    <row r="17" customFormat="false" ht="15" hidden="false" customHeight="false" outlineLevel="0" collapsed="false">
      <c r="B17" s="28" t="str">
        <f aca="false">Categorias!$B$15</f>
        <v>Otros egresos</v>
      </c>
      <c r="C17" s="29" t="n">
        <f aca="false">'Flujo de Caja'!$N$15*Configuracion!$C$12</f>
        <v>1270</v>
      </c>
    </row>
    <row r="20" customFormat="false" ht="19.5" hidden="false" customHeight="true" outlineLevel="0" collapsed="false">
      <c r="B20" s="27" t="s">
        <v>89</v>
      </c>
      <c r="C20" s="27"/>
      <c r="D20" s="27"/>
      <c r="E20" s="27"/>
      <c r="F20" s="27"/>
      <c r="G20" s="27"/>
    </row>
    <row r="21" customFormat="false" ht="18" hidden="false" customHeight="true" outlineLevel="0" collapsed="false">
      <c r="B21" s="10" t="s">
        <v>90</v>
      </c>
      <c r="C21" s="10" t="s">
        <v>91</v>
      </c>
      <c r="D21" s="10" t="s">
        <v>92</v>
      </c>
      <c r="E21" s="10" t="s">
        <v>93</v>
      </c>
      <c r="F21" s="10" t="s">
        <v>94</v>
      </c>
      <c r="G21" s="10" t="s">
        <v>95</v>
      </c>
    </row>
    <row r="22" customFormat="false" ht="15" hidden="false" customHeight="false" outlineLevel="0" collapsed="false">
      <c r="B22" s="28" t="s">
        <v>96</v>
      </c>
      <c r="C22" s="29" t="n">
        <f aca="false">SUM('Flujo de Caja'!B$5:B$7)*Configuracion!$C$12</f>
        <v>9700</v>
      </c>
      <c r="D22" s="29" t="n">
        <f aca="false">SUM('Flujo de Caja'!B$8:B$15)*Configuracion!$C$12</f>
        <v>9430</v>
      </c>
      <c r="E22" s="29" t="n">
        <f aca="false">C22-D22</f>
        <v>270</v>
      </c>
      <c r="F22" s="29" t="n">
        <f aca="false">Configuracion!$C$9*Configuracion!$C$12</f>
        <v>5000</v>
      </c>
      <c r="G22" s="29" t="n">
        <f aca="false">F22+E22</f>
        <v>5270</v>
      </c>
    </row>
    <row r="23" customFormat="false" ht="15" hidden="false" customHeight="false" outlineLevel="0" collapsed="false">
      <c r="B23" s="28" t="s">
        <v>97</v>
      </c>
      <c r="C23" s="29" t="n">
        <f aca="false">SUM('Flujo de Caja'!C$5:C$7)*Configuracion!$C$12</f>
        <v>9800</v>
      </c>
      <c r="D23" s="29" t="n">
        <f aca="false">SUM('Flujo de Caja'!C$8:C$15)*Configuracion!$C$12</f>
        <v>8870</v>
      </c>
      <c r="E23" s="29" t="n">
        <f aca="false">C23-D23</f>
        <v>930</v>
      </c>
      <c r="F23" s="29" t="n">
        <f aca="false">G22</f>
        <v>5270</v>
      </c>
      <c r="G23" s="29" t="n">
        <f aca="false">F23+E23</f>
        <v>6200</v>
      </c>
    </row>
    <row r="24" customFormat="false" ht="15" hidden="false" customHeight="false" outlineLevel="0" collapsed="false">
      <c r="B24" s="28" t="s">
        <v>98</v>
      </c>
      <c r="C24" s="29" t="n">
        <f aca="false">SUM('Flujo de Caja'!D$5:D$7)*Configuracion!$C$12</f>
        <v>10200</v>
      </c>
      <c r="D24" s="29" t="n">
        <f aca="false">SUM('Flujo de Caja'!D$8:D$15)*Configuracion!$C$12</f>
        <v>9190</v>
      </c>
      <c r="E24" s="29" t="n">
        <f aca="false">C24-D24</f>
        <v>1010</v>
      </c>
      <c r="F24" s="29" t="n">
        <f aca="false">G23</f>
        <v>6200</v>
      </c>
      <c r="G24" s="29" t="n">
        <f aca="false">F24+E24</f>
        <v>7210</v>
      </c>
    </row>
    <row r="25" customFormat="false" ht="15" hidden="false" customHeight="false" outlineLevel="0" collapsed="false">
      <c r="B25" s="28" t="s">
        <v>99</v>
      </c>
      <c r="C25" s="29" t="n">
        <f aca="false">SUM('Flujo de Caja'!E$5:E$7)*Configuracion!$C$12</f>
        <v>9850</v>
      </c>
      <c r="D25" s="29" t="n">
        <f aca="false">SUM('Flujo de Caja'!E$8:E$15)*Configuracion!$C$12</f>
        <v>9590</v>
      </c>
      <c r="E25" s="29" t="n">
        <f aca="false">C25-D25</f>
        <v>260</v>
      </c>
      <c r="F25" s="29" t="n">
        <f aca="false">G24</f>
        <v>7210</v>
      </c>
      <c r="G25" s="29" t="n">
        <f aca="false">F25+E25</f>
        <v>7470</v>
      </c>
    </row>
    <row r="26" customFormat="false" ht="15" hidden="false" customHeight="false" outlineLevel="0" collapsed="false">
      <c r="B26" s="28" t="s">
        <v>100</v>
      </c>
      <c r="C26" s="29" t="n">
        <f aca="false">SUM('Flujo de Caja'!F$5:F$7)*Configuracion!$C$12</f>
        <v>10350</v>
      </c>
      <c r="D26" s="29" t="n">
        <f aca="false">SUM('Flujo de Caja'!F$8:F$15)*Configuracion!$C$12</f>
        <v>9110</v>
      </c>
      <c r="E26" s="29" t="n">
        <f aca="false">C26-D26</f>
        <v>1240</v>
      </c>
      <c r="F26" s="29" t="n">
        <f aca="false">G25</f>
        <v>7470</v>
      </c>
      <c r="G26" s="29" t="n">
        <f aca="false">F26+E26</f>
        <v>8710</v>
      </c>
    </row>
    <row r="27" customFormat="false" ht="15" hidden="false" customHeight="false" outlineLevel="0" collapsed="false">
      <c r="B27" s="28" t="s">
        <v>101</v>
      </c>
      <c r="C27" s="29" t="n">
        <f aca="false">SUM('Flujo de Caja'!G$5:G$7)*Configuracion!$C$12</f>
        <v>10350</v>
      </c>
      <c r="D27" s="29" t="n">
        <f aca="false">SUM('Flujo de Caja'!G$8:G$15)*Configuracion!$C$12</f>
        <v>9210</v>
      </c>
      <c r="E27" s="29" t="n">
        <f aca="false">C27-D27</f>
        <v>1140</v>
      </c>
      <c r="F27" s="29" t="n">
        <f aca="false">G26</f>
        <v>8710</v>
      </c>
      <c r="G27" s="29" t="n">
        <f aca="false">F27+E27</f>
        <v>9850</v>
      </c>
    </row>
    <row r="28" customFormat="false" ht="15" hidden="false" customHeight="false" outlineLevel="0" collapsed="false">
      <c r="B28" s="28" t="s">
        <v>102</v>
      </c>
      <c r="C28" s="29" t="n">
        <f aca="false">SUM('Flujo de Caja'!H$5:H$7)*Configuracion!$C$12</f>
        <v>10600</v>
      </c>
      <c r="D28" s="29" t="n">
        <f aca="false">SUM('Flujo de Caja'!H$8:H$15)*Configuracion!$C$12</f>
        <v>9970</v>
      </c>
      <c r="E28" s="29" t="n">
        <f aca="false">C28-D28</f>
        <v>630</v>
      </c>
      <c r="F28" s="29" t="n">
        <f aca="false">G27</f>
        <v>9850</v>
      </c>
      <c r="G28" s="29" t="n">
        <f aca="false">F28+E28</f>
        <v>10480</v>
      </c>
    </row>
    <row r="29" customFormat="false" ht="15" hidden="false" customHeight="false" outlineLevel="0" collapsed="false">
      <c r="B29" s="28" t="s">
        <v>103</v>
      </c>
      <c r="C29" s="29" t="n">
        <f aca="false">SUM('Flujo de Caja'!I$5:I$7)*Configuracion!$C$12</f>
        <v>10850</v>
      </c>
      <c r="D29" s="29" t="n">
        <f aca="false">SUM('Flujo de Caja'!I$8:I$15)*Configuracion!$C$12</f>
        <v>9230</v>
      </c>
      <c r="E29" s="29" t="n">
        <f aca="false">C29-D29</f>
        <v>1620</v>
      </c>
      <c r="F29" s="29" t="n">
        <f aca="false">G28</f>
        <v>10480</v>
      </c>
      <c r="G29" s="29" t="n">
        <f aca="false">F29+E29</f>
        <v>12100</v>
      </c>
    </row>
    <row r="30" customFormat="false" ht="15" hidden="false" customHeight="false" outlineLevel="0" collapsed="false">
      <c r="B30" s="28" t="s">
        <v>104</v>
      </c>
      <c r="C30" s="29" t="n">
        <f aca="false">SUM('Flujo de Caja'!J$5:J$7)*Configuracion!$C$12</f>
        <v>10800</v>
      </c>
      <c r="D30" s="29" t="n">
        <f aca="false">SUM('Flujo de Caja'!J$8:J$15)*Configuracion!$C$12</f>
        <v>9320</v>
      </c>
      <c r="E30" s="29" t="n">
        <f aca="false">C30-D30</f>
        <v>1480</v>
      </c>
      <c r="F30" s="29" t="n">
        <f aca="false">G29</f>
        <v>12100</v>
      </c>
      <c r="G30" s="29" t="n">
        <f aca="false">F30+E30</f>
        <v>13580</v>
      </c>
    </row>
    <row r="31" customFormat="false" ht="15" hidden="false" customHeight="false" outlineLevel="0" collapsed="false">
      <c r="B31" s="28" t="s">
        <v>105</v>
      </c>
      <c r="C31" s="29" t="n">
        <f aca="false">SUM('Flujo de Caja'!K$5:K$7)*Configuracion!$C$12</f>
        <v>10950</v>
      </c>
      <c r="D31" s="29" t="n">
        <f aca="false">SUM('Flujo de Caja'!K$8:K$15)*Configuracion!$C$12</f>
        <v>10090</v>
      </c>
      <c r="E31" s="29" t="n">
        <f aca="false">C31-D31</f>
        <v>860</v>
      </c>
      <c r="F31" s="29" t="n">
        <f aca="false">G30</f>
        <v>13580</v>
      </c>
      <c r="G31" s="29" t="n">
        <f aca="false">F31+E31</f>
        <v>14440</v>
      </c>
    </row>
    <row r="32" customFormat="false" ht="15" hidden="false" customHeight="false" outlineLevel="0" collapsed="false">
      <c r="B32" s="28" t="s">
        <v>106</v>
      </c>
      <c r="C32" s="29" t="n">
        <f aca="false">SUM('Flujo de Caja'!L$5:L$7)*Configuracion!$C$12</f>
        <v>11650</v>
      </c>
      <c r="D32" s="29" t="n">
        <f aca="false">SUM('Flujo de Caja'!L$8:L$15)*Configuracion!$C$12</f>
        <v>9690</v>
      </c>
      <c r="E32" s="29" t="n">
        <f aca="false">C32-D32</f>
        <v>1960</v>
      </c>
      <c r="F32" s="29" t="n">
        <f aca="false">G31</f>
        <v>14440</v>
      </c>
      <c r="G32" s="29" t="n">
        <f aca="false">F32+E32</f>
        <v>16400</v>
      </c>
    </row>
    <row r="33" customFormat="false" ht="15" hidden="false" customHeight="false" outlineLevel="0" collapsed="false">
      <c r="B33" s="28" t="s">
        <v>107</v>
      </c>
      <c r="C33" s="29" t="n">
        <f aca="false">SUM('Flujo de Caja'!M$5:M$7)*Configuracion!$C$12</f>
        <v>12500</v>
      </c>
      <c r="D33" s="29" t="n">
        <f aca="false">SUM('Flujo de Caja'!M$8:M$15)*Configuracion!$C$12</f>
        <v>11120</v>
      </c>
      <c r="E33" s="29" t="n">
        <f aca="false">C33-D33</f>
        <v>1380</v>
      </c>
      <c r="F33" s="29" t="n">
        <f aca="false">G32</f>
        <v>16400</v>
      </c>
      <c r="G33" s="29" t="n">
        <f aca="false">F33+E33</f>
        <v>17780</v>
      </c>
    </row>
    <row r="34" customFormat="false" ht="15" hidden="false" customHeight="false" outlineLevel="0" collapsed="false">
      <c r="B34" s="23" t="s">
        <v>108</v>
      </c>
      <c r="C34" s="30" t="n">
        <f aca="false">SUM(C22:C33)</f>
        <v>127600</v>
      </c>
      <c r="D34" s="30" t="n">
        <f aca="false">SUM(D22:D33)</f>
        <v>114820</v>
      </c>
      <c r="E34" s="30" t="n">
        <f aca="false">SUM(E22:E33)</f>
        <v>12780</v>
      </c>
      <c r="F34" s="31"/>
      <c r="G34" s="30" t="n">
        <f aca="false">G33</f>
        <v>17780</v>
      </c>
    </row>
  </sheetData>
  <sheetProtection sheet="true" password="ee36" formatCells="false" formatColumns="false" formatRows="false" insertRows="false" selectLockedCells="true" selectUnlockedCells="true"/>
  <mergeCells count="4">
    <mergeCell ref="B2:C2"/>
    <mergeCell ref="B3:C3"/>
    <mergeCell ref="B5:C5"/>
    <mergeCell ref="B20:G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</cols>
  <sheetData>
    <row r="2" customFormat="false" ht="27.75" hidden="false" customHeight="true" outlineLevel="0" collapsed="false">
      <c r="B2" s="8" t="s">
        <v>109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Moneda: " &amp; Configuracion!$C$8 &amp; "   |   Año: " &amp; Configuracion!$C$10</f>
        <v> Moneda: Local   |   Año: 2026</v>
      </c>
      <c r="C3" s="7"/>
      <c r="D3" s="7"/>
      <c r="E3" s="7"/>
      <c r="F3" s="7"/>
      <c r="G3" s="7"/>
      <c r="H3" s="7"/>
    </row>
    <row r="5" customFormat="false" ht="18" hidden="false" customHeight="true" outlineLevel="0" collapsed="false">
      <c r="B5" s="32" t="s">
        <v>110</v>
      </c>
      <c r="C5" s="32"/>
      <c r="D5" s="33" t="s">
        <v>111</v>
      </c>
      <c r="E5" s="33"/>
      <c r="F5" s="34" t="s">
        <v>112</v>
      </c>
      <c r="G5" s="34"/>
      <c r="H5" s="35" t="s">
        <v>113</v>
      </c>
      <c r="I5" s="35"/>
    </row>
    <row r="6" customFormat="false" ht="21.75" hidden="false" customHeight="true" outlineLevel="0" collapsed="false">
      <c r="B6" s="36" t="str">
        <f aca="false">Configuracion!$C$13&amp;" "&amp;TEXT(Resumen!F22,"#,##0.00")</f>
        <v>S/ 5,000.00</v>
      </c>
      <c r="C6" s="36"/>
      <c r="D6" s="37" t="str">
        <f aca="false">Configuracion!$C$13&amp;" "&amp;TEXT(Resumen!C34,"#,##0.00")</f>
        <v>S/ 127,600.00</v>
      </c>
      <c r="E6" s="37"/>
      <c r="F6" s="38" t="str">
        <f aca="false">Configuracion!$C$13&amp;" "&amp;TEXT(Resumen!D34,"#,##0.00")</f>
        <v>S/ 114,820.00</v>
      </c>
      <c r="G6" s="38"/>
      <c r="H6" s="39" t="str">
        <f aca="false">Configuracion!$C$13&amp;" "&amp;TEXT(Resumen!G34,"#,##0.00")</f>
        <v>S/ 17,780.00</v>
      </c>
      <c r="I6" s="39"/>
    </row>
    <row r="7" customFormat="false" ht="21.75" hidden="false" customHeight="true" outlineLevel="0" collapsed="false">
      <c r="B7" s="36"/>
      <c r="C7" s="36"/>
      <c r="D7" s="37"/>
      <c r="E7" s="37"/>
      <c r="F7" s="38"/>
      <c r="G7" s="38"/>
      <c r="H7" s="39"/>
      <c r="I7" s="39"/>
    </row>
  </sheetData>
  <sheetProtection sheet="true" password="ee36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2026-09-18T05:26:22Z</dcterms:created>
  <dc:creator>openpyxl</dc:creator>
  <dc:description/>
  <dc:language>en-US</dc:language>
  <cp:lastModifiedBy/>
  <dcterms:modified xsi:type="dcterms:W3CDTF">2026-09-18T05:26:24Z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