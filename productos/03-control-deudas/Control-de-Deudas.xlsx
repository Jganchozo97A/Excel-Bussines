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Portada" sheetId="1" state="visible" r:id="rId3"/>
    <sheet name="Instrucciones" sheetId="2" state="visible" r:id="rId4"/>
    <sheet name="Configuracion" sheetId="3" state="visible" r:id="rId5"/>
    <sheet name="Deudas" sheetId="4" state="visible" r:id="rId6"/>
    <sheet name="Pagos" sheetId="5" state="visible" r:id="rId7"/>
    <sheet name="Resumen" sheetId="6" state="visible" r:id="rId8"/>
    <sheet name="Dashboard" sheetId="7" state="visible" r:id="rId9"/>
  </sheets>
  <definedNames>
    <definedName function="false" hidden="false" name="FactorConversion" vbProcedure="false">Configuracion!$C$11</definedName>
    <definedName function="false" hidden="false" name="MonedaVisualizacion" vbProcedure="false">Configuracion!$C$8</definedName>
    <definedName function="false" hidden="false" name="TipoCambio" vbProcedure="false">Configuracion!$C$7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<sst xmlns="http://schemas.openxmlformats.org/spreadsheetml/2006/main" count="130" uniqueCount="106">
  <si>
    <t xml:space="preserve">LÍNEA DE PRODUCTOS DIGITALES · PLANTILLAS EXCEL</t>
  </si>
  <si>
    <t xml:space="preserve">CONTROL DE DEUDAS</t>
  </si>
  <si>
    <t xml:space="preserve">Registra todas tus deudas, controla tus pagos (capital e interés) y descubre qué deuda conviene pagar primero — con panel de control, gráficos automáticos y selector de moneda (local / USD).</t>
  </si>
  <si>
    <t xml:space="preserve">QUÉ INCLUYE ESTA PLANTILLA</t>
  </si>
  <si>
    <t xml:space="preserve">✔  Dashboard con indicadores clave (KPIs) y gráficos automáticos</t>
  </si>
  <si>
    <t xml:space="preserve">✔  Fórmulas automáticas: nada que calcular a mano</t>
  </si>
  <si>
    <t xml:space="preserve">✔  Gráficos: pastel, barras y evolución de la deuda total</t>
  </si>
  <si>
    <t xml:space="preserve">✔  Resumen dinámico tipo tabla dinámica por deuda</t>
  </si>
  <si>
    <t xml:space="preserve">✔  Estrategias sugeridas de pago: bola de nieve y avalancha</t>
  </si>
  <si>
    <t xml:space="preserve">✔  Listas desplegables y validación de datos en cada registro</t>
  </si>
  <si>
    <t xml:space="preserve">✔  Selector de moneda: local o USD, con tipo de cambio editable</t>
  </si>
  <si>
    <t xml:space="preserve">✔  Hoja de instrucciones paso a paso</t>
  </si>
  <si>
    <t xml:space="preserve">✔  Celdas y fórmulas protegidas: solo editas donde debes</t>
  </si>
  <si>
    <t xml:space="preserve">✔  Diseño profesional y ejemplos precargados</t>
  </si>
  <si>
    <t xml:space="preserve">Producto digital · Precio orientativo: $7.99 USD  |  Licencia de uso personal</t>
  </si>
  <si>
    <t xml:space="preserve">© Tu Marca de Plantillas · www.tumarca.com</t>
  </si>
  <si>
    <t xml:space="preserve">CÓMO USAR ESTA PLANTILLA</t>
  </si>
  <si>
    <t xml:space="preserve">1. Configuración</t>
  </si>
  <si>
    <t xml:space="preserve">Define el símbolo de tu moneda local, el tipo de cambio y si la plantilla se muestra en moneda LOCAL o USD.</t>
  </si>
  <si>
    <t xml:space="preserve">2. Deudas</t>
  </si>
  <si>
    <t xml:space="preserve">En la hoja 'Deudas' registra cada deuda: nombre, tipo, saldo inicial, tasa de interés anual y pago mínimo mensual. El saldo actual y el % pagado se calculan solos. Hay espacio para hasta 10 deudas; si necesitas más, copia el formato de una fila hacia abajo en Deudas y Resumen.</t>
  </si>
  <si>
    <t xml:space="preserve">3. Pagos</t>
  </si>
  <si>
    <t xml:space="preserve">Cada vez que pagues una deuda, agrégalo en la hoja 'Pagos': fecha, deuda (lista desplegable), monto total pagado e interés de ese pago. El capital amortizado se calcula solo.</t>
  </si>
  <si>
    <t xml:space="preserve">4. Resumen automático</t>
  </si>
  <si>
    <t xml:space="preserve">La hoja 'Resumen' agrupa automáticamente tus pagos por deuda y te sugiere un orden de pago con dos estrategias: 'Bola de nieve' (pagar primero la deuda más pequeña) y 'Avalancha' (pagar primero la de mayor interés).</t>
  </si>
  <si>
    <t xml:space="preserve">5. Dashboard</t>
  </si>
  <si>
    <t xml:space="preserve">La hoja 'Dashboard' muestra tu deuda total, lo pagado, el interés acumulado y la evolución de tu deuda total mes a mes, con gráficos que se actualizan solos.</t>
  </si>
  <si>
    <t xml:space="preserve">6. Cambiar de moneda</t>
  </si>
  <si>
    <t xml:space="preserve">Cambia 'Moneda de visualización' en 'Configuración' entre Local y USD: todo se recalcula automáticamente.</t>
  </si>
  <si>
    <t xml:space="preserve">7. Celdas protegidas</t>
  </si>
  <si>
    <t xml:space="preserve">Las hojas están protegidas para que no borres fórmulas por accidente. Solo puedes escribir en las celdas resaltadas en color crema / texto azul. Contraseña de desprotección: plantilla2026.</t>
  </si>
  <si>
    <t xml:space="preserve">Soporte y otras plantillas de esta línea de productos: www.tumarca.com</t>
  </si>
  <si>
    <t xml:space="preserve">CONFIGURACIÓN Y MONEDA</t>
  </si>
  <si>
    <t xml:space="preserve">Parámetro</t>
  </si>
  <si>
    <t xml:space="preserve">Valor</t>
  </si>
  <si>
    <t xml:space="preserve">Notas</t>
  </si>
  <si>
    <t xml:space="preserve">Nombre de moneda local</t>
  </si>
  <si>
    <t xml:space="preserve">Soles (PEN)</t>
  </si>
  <si>
    <t xml:space="preserve">Solo referencia. Escribe el nombre de tu moneda.</t>
  </si>
  <si>
    <t xml:space="preserve">Símbolo de moneda local</t>
  </si>
  <si>
    <t xml:space="preserve">S/</t>
  </si>
  <si>
    <t xml:space="preserve">Símbolo que se usará en el Dashboard cuando la vista esté en LOCAL.</t>
  </si>
  <si>
    <t xml:space="preserve">Tipo de cambio (1 USD =)</t>
  </si>
  <si>
    <t xml:space="preserve">Cuántas unidades de tu moneda local equivalen a 1 USD.</t>
  </si>
  <si>
    <t xml:space="preserve">Moneda de visualización</t>
  </si>
  <si>
    <t xml:space="preserve">Local</t>
  </si>
  <si>
    <t xml:space="preserve">Elige LOCAL o USD. Afecta Resumen y Dashboard.</t>
  </si>
  <si>
    <t xml:space="preserve">Año de análisis</t>
  </si>
  <si>
    <t xml:space="preserve">Año que se usa para agrupar la evolución mensual.</t>
  </si>
  <si>
    <t xml:space="preserve">Valores calculados (no editar)</t>
  </si>
  <si>
    <t xml:space="preserve">Factor de conversión aplicado</t>
  </si>
  <si>
    <t xml:space="preserve">Vale 1 si vista LOCAL; vale 1/Tipo de cambio si vista USD.</t>
  </si>
  <si>
    <t xml:space="preserve">Símbolo de moneda actual</t>
  </si>
  <si>
    <t xml:space="preserve">Símbolo que verás en el Dashboard según la moneda elegida.</t>
  </si>
  <si>
    <t xml:space="preserve">Cambia 'Moneda de visualización' entre Local y USD para recalcular automáticamente toda la plantilla.</t>
  </si>
  <si>
    <t xml:space="preserve">REGISTRO DE DEUDAS</t>
  </si>
  <si>
    <t xml:space="preserve">Completa las columnas A a E para cada deuda. Las columnas F a J se calculan automáticamente.</t>
  </si>
  <si>
    <t xml:space="preserve">Deuda</t>
  </si>
  <si>
    <t xml:space="preserve">Tipo</t>
  </si>
  <si>
    <t xml:space="preserve">Saldo inicial</t>
  </si>
  <si>
    <t xml:space="preserve">Tasa interés anual</t>
  </si>
  <si>
    <t xml:space="preserve">Pago mínimo mensual</t>
  </si>
  <si>
    <t xml:space="preserve">Total pagado</t>
  </si>
  <si>
    <t xml:space="preserve">Interés pagado</t>
  </si>
  <si>
    <t xml:space="preserve">Capital pagado</t>
  </si>
  <si>
    <t xml:space="preserve">Saldo actual</t>
  </si>
  <si>
    <t xml:space="preserve">% pagado</t>
  </si>
  <si>
    <t xml:space="preserve">Tarjeta Visa</t>
  </si>
  <si>
    <t xml:space="preserve">Tarjeta de crédito</t>
  </si>
  <si>
    <t xml:space="preserve">Tarjeta Mastercard</t>
  </si>
  <si>
    <t xml:space="preserve">Préstamo auto</t>
  </si>
  <si>
    <t xml:space="preserve">Préstamo vehicular</t>
  </si>
  <si>
    <t xml:space="preserve">Préstamo personal</t>
  </si>
  <si>
    <t xml:space="preserve">Hipoteca</t>
  </si>
  <si>
    <t xml:space="preserve">TOTAL</t>
  </si>
  <si>
    <t xml:space="preserve">REGISTRO DE PAGOS</t>
  </si>
  <si>
    <t xml:space="preserve">Completa las columnas A a D para cada pago. La columna E (capital) se calcula automáticamente.</t>
  </si>
  <si>
    <t xml:space="preserve">Fecha</t>
  </si>
  <si>
    <t xml:space="preserve">Monto pagado</t>
  </si>
  <si>
    <t xml:space="preserve">Interés del pago</t>
  </si>
  <si>
    <t xml:space="preserve">Capital amortizado</t>
  </si>
  <si>
    <t xml:space="preserve">RESUMEN DINÁMICO (se actualiza solo)</t>
  </si>
  <si>
    <t xml:space="preserve">DEUDAS Y ESTRATEGIA DE PAGO SUGERIDA</t>
  </si>
  <si>
    <t xml:space="preserve">Tasa interés</t>
  </si>
  <si>
    <t xml:space="preserve">Bola de nieve</t>
  </si>
  <si>
    <t xml:space="preserve">Avalancha</t>
  </si>
  <si>
    <t xml:space="preserve">EVOLUCIÓN DE LA DEUDA TOTAL (saldo acumulado al cierre de cada mes)</t>
  </si>
  <si>
    <t xml:space="preserve">Mes</t>
  </si>
  <si>
    <t xml:space="preserve">Saldo total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</si>
  <si>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</si>
  <si>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</si>
  <si>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</si>
  <si>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</si>
  <si>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</si>
  <si>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</si>
  <si>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</si>
  <si>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</si>
  <si>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</si>
  <si>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</si>
  <si>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</si>
  <si>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</si>
  <si>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DASHBOARD · CONTROL DE DEUDAS</t>
  </si>
  <si>
    <t xml:space="preserve">DEUDA INICIAL TOTAL</t>
  </si>
  <si>
    <t xml:space="preserve">SALDO ACTUAL TOTAL</t>
  </si>
  <si>
    <t xml:space="preserve">TOTAL PAGADO</t>
  </si>
  <si>
    <t xml:space="preserve">% DEUDA PAGADA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</si>
</sst>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#,##0.00"/>
    <numFmt numFmtId="167" formatCode="0.0%"/>
    <numFmt numFmtId="168" formatCode="dd/mm/yyyy"/>
    <numFmt numFmtId="169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CA58D"/>
      <name val="Arial"/>
      <family val="0"/>
      <charset val="1"/>
    </font>
    <font>
      <b val="true"/>
      <sz val="28"/>
      <color rgb="FF1F3B57"/>
      <name val="Arial"/>
      <family val="0"/>
      <charset val="1"/>
    </font>
    <font>
      <sz val="11"/>
      <color rgb="FF1A1A1A"/>
      <name val="Arial"/>
      <family val="0"/>
      <charset val="1"/>
    </font>
    <font>
      <b val="true"/>
      <sz val="11"/>
      <color rgb="FF1F3B57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9A2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6"/>
      <color rgb="FF1F3B5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F4F6"/>
        <bgColor rgb="FFF9F9F9"/>
      </patternFill>
    </fill>
    <fill>
      <patternFill patternType="solid">
        <fgColor rgb="FF1F3B57"/>
        <bgColor rgb="FF003366"/>
      </patternFill>
    </fill>
    <fill>
      <patternFill patternType="solid">
        <fgColor rgb="FFFFF6D9"/>
        <bgColor rgb="FFF9F9F9"/>
      </patternFill>
    </fill>
    <fill>
      <patternFill patternType="solid">
        <fgColor rgb="FF2CA58D"/>
        <bgColor rgb="FF4299B0"/>
      </patternFill>
    </fill>
    <fill>
      <patternFill patternType="solid">
        <fgColor rgb="FFB23B3B"/>
        <bgColor rgb="FFAB4744"/>
      </patternFill>
    </fill>
    <fill>
      <patternFill patternType="solid">
        <fgColor rgb="FFC9A24B"/>
        <bgColor rgb="FFDC853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B23B3B"/>
      <rgbColor rgb="FFFFF6D9"/>
      <rgbColor rgb="FFF2F4F6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9DEE3"/>
      <rgbColor rgb="FFFFFF99"/>
      <rgbColor rgb="FF99CCFF"/>
      <rgbColor rgb="FFD09493"/>
      <rgbColor rgb="FFCC99FF"/>
      <rgbColor rgb="FFFFCC99"/>
      <rgbColor rgb="FF4A7EBB"/>
      <rgbColor rgb="FF4299B0"/>
      <rgbColor rgb="FF99CC00"/>
      <rgbColor rgb="FFFFCC00"/>
      <rgbColor rgb="FFC9A24B"/>
      <rgbColor rgb="FFFF6600"/>
      <rgbColor rgb="FF725990"/>
      <rgbColor rgb="FFA99BBD"/>
      <rgbColor rgb="FF003366"/>
      <rgbColor rgb="FF2CA58D"/>
      <rgbColor rgb="FF003300"/>
      <rgbColor rgb="FF1A1A1A"/>
      <rgbColor rgb="FFC0504D"/>
      <rgbColor rgb="FFAB4744"/>
      <rgbColor rgb="FF555555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actual por deuda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Resumen!D6</c:f>
              <c:strCache>
                <c:ptCount val="1"/>
                <c:pt idx="0">
                  <c:v>Saldo actual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Resumen!$B$7:$B$16</c:f>
              <c:strCache>
                <c:ptCount val="10"/>
                <c:pt idx="0">
                  <c:v>Tarjeta Visa</c:v>
                </c:pt>
                <c:pt idx="1">
                  <c:v>Tarjeta Mastercard</c:v>
                </c:pt>
                <c:pt idx="2">
                  <c:v>Préstamo auto</c:v>
                </c:pt>
                <c:pt idx="3">
                  <c:v>Préstamo personal</c:v>
                </c:pt>
                <c:pt idx="4">
                  <c:v>Hipoteca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Resumen!$D$7:$D$16</c:f>
              <c:numCache>
                <c:formatCode>#,##0.00</c:formatCode>
                <c:ptCount val="10"/>
                <c:pt idx="0">
                  <c:v>2383</c:v>
                </c:pt>
                <c:pt idx="1">
                  <c:v>1246</c:v>
                </c:pt>
                <c:pt idx="2">
                  <c:v>7263</c:v>
                </c:pt>
                <c:pt idx="3">
                  <c:v>1628</c:v>
                </c:pt>
                <c:pt idx="4">
                  <c:v>44526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Saldo inicial vs. saldo actual por deuda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Resumen!C6</c:f>
              <c:strCache>
                <c:ptCount val="1"/>
                <c:pt idx="0">
                  <c:v>Saldo inicial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Resumen!$B$7:$B$16</c:f>
              <c:strCache>
                <c:ptCount val="10"/>
                <c:pt idx="0">
                  <c:v>Tarjeta Visa</c:v>
                </c:pt>
                <c:pt idx="1">
                  <c:v>Tarjeta Mastercard</c:v>
                </c:pt>
                <c:pt idx="2">
                  <c:v>Préstamo auto</c:v>
                </c:pt>
                <c:pt idx="3">
                  <c:v>Préstamo personal</c:v>
                </c:pt>
                <c:pt idx="4">
                  <c:v>Hipoteca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Resumen!$C$7:$C$16</c:f>
              <c:numCache>
                <c:formatCode>#,##0.00</c:formatCode>
                <c:ptCount val="10"/>
                <c:pt idx="0">
                  <c:v>3000</c:v>
                </c:pt>
                <c:pt idx="1">
                  <c:v>1500</c:v>
                </c:pt>
                <c:pt idx="2">
                  <c:v>8000</c:v>
                </c:pt>
                <c:pt idx="3">
                  <c:v>2000</c:v>
                </c:pt>
                <c:pt idx="4">
                  <c:v>45000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Resumen!D6</c:f>
              <c:strCache>
                <c:ptCount val="1"/>
                <c:pt idx="0">
                  <c:v>Saldo actual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Resumen!$B$7:$B$16</c:f>
              <c:strCache>
                <c:ptCount val="10"/>
                <c:pt idx="0">
                  <c:v>Tarjeta Visa</c:v>
                </c:pt>
                <c:pt idx="1">
                  <c:v>Tarjeta Mastercard</c:v>
                </c:pt>
                <c:pt idx="2">
                  <c:v>Préstamo auto</c:v>
                </c:pt>
                <c:pt idx="3">
                  <c:v>Préstamo personal</c:v>
                </c:pt>
                <c:pt idx="4">
                  <c:v>Hipoteca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Resumen!$D$7:$D$16</c:f>
              <c:numCache>
                <c:formatCode>#,##0.00</c:formatCode>
                <c:ptCount val="10"/>
                <c:pt idx="0">
                  <c:v>2383</c:v>
                </c:pt>
                <c:pt idx="1">
                  <c:v>1246</c:v>
                </c:pt>
                <c:pt idx="2">
                  <c:v>7263</c:v>
                </c:pt>
                <c:pt idx="3">
                  <c:v>1628</c:v>
                </c:pt>
                <c:pt idx="4">
                  <c:v>44526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35049379"/>
        <c:axId val="32410016"/>
      </c:barChart>
      <c:catAx>
        <c:axId val="35049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410016"/>
        <c:crosses val="autoZero"/>
        <c:auto val="1"/>
        <c:lblAlgn val="ctr"/>
        <c:lblOffset val="100"/>
        <c:noMultiLvlLbl val="0"/>
      </c:catAx>
      <c:valAx>
        <c:axId val="324100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49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 la deuda 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Resumen!C21</c:f>
              <c:strCache>
                <c:ptCount val="1"/>
                <c:pt idx="0">
                  <c:v>Saldo total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Resumen!$B$22:$B$33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Resumen!$C$22:$C$33</c:f>
              <c:numCache>
                <c:formatCode>#,##0.00</c:formatCode>
                <c:ptCount val="12"/>
                <c:pt idx="0">
                  <c:v>58714</c:v>
                </c:pt>
                <c:pt idx="1">
                  <c:v>57911</c:v>
                </c:pt>
                <c:pt idx="2">
                  <c:v>57046</c:v>
                </c:pt>
                <c:pt idx="3">
                  <c:v>57046</c:v>
                </c:pt>
                <c:pt idx="4">
                  <c:v>57046</c:v>
                </c:pt>
                <c:pt idx="5">
                  <c:v>57046</c:v>
                </c:pt>
                <c:pt idx="6">
                  <c:v>57046</c:v>
                </c:pt>
                <c:pt idx="7">
                  <c:v>57046</c:v>
                </c:pt>
                <c:pt idx="8">
                  <c:v>57046</c:v>
                </c:pt>
                <c:pt idx="9">
                  <c:v>57046</c:v>
                </c:pt>
                <c:pt idx="10">
                  <c:v>57046</c:v>
                </c:pt>
                <c:pt idx="11">
                  <c:v>57046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6988629"/>
        <c:axId val="53138466"/>
      </c:lineChart>
      <c:catAx>
        <c:axId val="269886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38466"/>
        <c:crosses val="autoZero"/>
        <c:auto val="1"/>
        <c:lblAlgn val="ctr"/>
        <c:lblOffset val="100"/>
        <c:noMultiLvlLbl val="0"/>
      </c:catAx>
      <c:valAx>
        <c:axId val="531384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886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4</xdr:col>
      <xdr:colOff>1132560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26676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7</xdr:col>
      <xdr:colOff>1132200</xdr:colOff>
      <xdr:row>25</xdr:row>
      <xdr:rowOff>1080</xdr:rowOff>
    </xdr:to>
    <xdr:graphicFrame>
      <xdr:nvGraphicFramePr>
        <xdr:cNvPr id="1" name="Chart 2"/>
        <xdr:cNvGraphicFramePr/>
      </xdr:nvGraphicFramePr>
      <xdr:xfrm>
        <a:off x="4533840" y="18954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9</xdr:col>
      <xdr:colOff>576360</xdr:colOff>
      <xdr:row>44</xdr:row>
      <xdr:rowOff>1080</xdr:rowOff>
    </xdr:to>
    <xdr:graphicFrame>
      <xdr:nvGraphicFramePr>
        <xdr:cNvPr id="2" name="Chart 3"/>
        <xdr:cNvGraphicFramePr/>
      </xdr:nvGraphicFramePr>
      <xdr:xfrm>
        <a:off x="266760" y="5514840"/>
        <a:ext cx="107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  <col collapsed="false" customWidth="true" hidden="false" outlineLevel="0" max="7" min="7" style="0" width="4"/>
  </cols>
  <sheetData>
    <row r="2" customFormat="false" ht="19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9.5" hidden="false" customHeight="true" outlineLevel="0" collapsed="false"/>
    <row r="4" customFormat="false" ht="30" hidden="false" customHeight="true" outlineLevel="0" collapsed="false">
      <c r="B4" s="2" t="s">
        <v>1</v>
      </c>
      <c r="C4" s="2"/>
      <c r="D4" s="2"/>
      <c r="E4" s="2"/>
      <c r="F4" s="2"/>
    </row>
    <row r="5" customFormat="false" ht="19.5" hidden="false" customHeight="true" outlineLevel="0" collapsed="false">
      <c r="B5" s="2"/>
      <c r="C5" s="2"/>
      <c r="D5" s="2"/>
      <c r="E5" s="2"/>
      <c r="F5" s="2"/>
    </row>
    <row r="6" customFormat="false" ht="19.5" hidden="false" customHeight="true" outlineLevel="0" collapsed="false">
      <c r="B6" s="2"/>
      <c r="C6" s="2"/>
      <c r="D6" s="2"/>
      <c r="E6" s="2"/>
      <c r="F6" s="2"/>
    </row>
    <row r="7" customFormat="false" ht="19.5" hidden="false" customHeight="true" outlineLevel="0" collapsed="false">
      <c r="B7" s="3" t="s">
        <v>2</v>
      </c>
      <c r="C7" s="3"/>
      <c r="D7" s="3"/>
      <c r="E7" s="3"/>
      <c r="F7" s="3"/>
    </row>
    <row r="8" customFormat="false" ht="19.5" hidden="false" customHeight="true" outlineLevel="0" collapsed="false">
      <c r="B8" s="3"/>
      <c r="C8" s="3"/>
      <c r="D8" s="3"/>
      <c r="E8" s="3"/>
      <c r="F8" s="3"/>
    </row>
    <row r="10" customFormat="false" ht="19.5" hidden="false" customHeight="true" outlineLevel="0" collapsed="false">
      <c r="B10" s="4" t="s">
        <v>3</v>
      </c>
      <c r="C10" s="4"/>
      <c r="D10" s="4"/>
      <c r="E10" s="4"/>
      <c r="F10" s="4"/>
    </row>
    <row r="11" customFormat="false" ht="18" hidden="false" customHeight="true" outlineLevel="0" collapsed="false">
      <c r="B11" s="5" t="s">
        <v>4</v>
      </c>
      <c r="C11" s="5"/>
      <c r="D11" s="5"/>
      <c r="E11" s="5"/>
      <c r="F11" s="5"/>
    </row>
    <row r="12" customFormat="false" ht="18" hidden="false" customHeight="true" outlineLevel="0" collapsed="false">
      <c r="B12" s="5" t="s">
        <v>5</v>
      </c>
      <c r="C12" s="5"/>
      <c r="D12" s="5"/>
      <c r="E12" s="5"/>
      <c r="F12" s="5"/>
    </row>
    <row r="13" customFormat="false" ht="18" hidden="false" customHeight="true" outlineLevel="0" collapsed="false">
      <c r="B13" s="5" t="s">
        <v>6</v>
      </c>
      <c r="C13" s="5"/>
      <c r="D13" s="5"/>
      <c r="E13" s="5"/>
      <c r="F13" s="5"/>
    </row>
    <row r="14" customFormat="false" ht="18" hidden="false" customHeight="true" outlineLevel="0" collapsed="false">
      <c r="B14" s="5" t="s">
        <v>7</v>
      </c>
      <c r="C14" s="5"/>
      <c r="D14" s="5"/>
      <c r="E14" s="5"/>
      <c r="F14" s="5"/>
    </row>
    <row r="15" customFormat="false" ht="18" hidden="false" customHeight="true" outlineLevel="0" collapsed="false">
      <c r="B15" s="5" t="s">
        <v>8</v>
      </c>
      <c r="C15" s="5"/>
      <c r="D15" s="5"/>
      <c r="E15" s="5"/>
      <c r="F15" s="5"/>
    </row>
    <row r="16" customFormat="false" ht="18" hidden="false" customHeight="true" outlineLevel="0" collapsed="false">
      <c r="B16" s="5" t="s">
        <v>9</v>
      </c>
      <c r="C16" s="5"/>
      <c r="D16" s="5"/>
      <c r="E16" s="5"/>
      <c r="F16" s="5"/>
    </row>
    <row r="17" customFormat="false" ht="18" hidden="false" customHeight="true" outlineLevel="0" collapsed="false">
      <c r="B17" s="5" t="s">
        <v>10</v>
      </c>
      <c r="C17" s="5"/>
      <c r="D17" s="5"/>
      <c r="E17" s="5"/>
      <c r="F17" s="5"/>
    </row>
    <row r="18" customFormat="false" ht="18" hidden="false" customHeight="true" outlineLevel="0" collapsed="false">
      <c r="B18" s="5" t="s">
        <v>11</v>
      </c>
      <c r="C18" s="5"/>
      <c r="D18" s="5"/>
      <c r="E18" s="5"/>
      <c r="F18" s="5"/>
    </row>
    <row r="19" customFormat="false" ht="18" hidden="false" customHeight="true" outlineLevel="0" collapsed="false">
      <c r="B19" s="5" t="s">
        <v>12</v>
      </c>
      <c r="C19" s="5"/>
      <c r="D19" s="5"/>
      <c r="E19" s="5"/>
      <c r="F19" s="5"/>
    </row>
    <row r="20" customFormat="false" ht="18" hidden="false" customHeight="true" outlineLevel="0" collapsed="false">
      <c r="B20" s="5" t="s">
        <v>13</v>
      </c>
      <c r="C20" s="5"/>
      <c r="D20" s="5"/>
      <c r="E20" s="5"/>
      <c r="F20" s="5"/>
    </row>
    <row r="22" customFormat="false" ht="15" hidden="false" customHeight="false" outlineLevel="0" collapsed="false">
      <c r="B22" s="6" t="s">
        <v>14</v>
      </c>
      <c r="C22" s="6"/>
      <c r="D22" s="6"/>
      <c r="E22" s="6"/>
      <c r="F22" s="6"/>
    </row>
    <row r="24" customFormat="false" ht="15" hidden="false" customHeight="false" outlineLevel="0" collapsed="false">
      <c r="B24" s="7" t="s">
        <v>15</v>
      </c>
      <c r="C24" s="7"/>
      <c r="D24" s="7"/>
      <c r="E24" s="7"/>
      <c r="F24" s="7"/>
    </row>
  </sheetData>
  <sheetProtection sheet="true" password="ee36" formatCells="false" formatColumns="false" formatRows="false" insertRows="false" selectLockedCells="true" selectUnlockedCells="true"/>
  <mergeCells count="16">
    <mergeCell ref="B2:F2"/>
    <mergeCell ref="B4:F6"/>
    <mergeCell ref="B7:F8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2:F22"/>
    <mergeCell ref="B24:F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46"/>
    <col collapsed="false" customWidth="true" hidden="false" outlineLevel="0" max="4" min="4" style="0" width="3"/>
  </cols>
  <sheetData>
    <row r="2" customFormat="false" ht="25.5" hidden="false" customHeight="true" outlineLevel="0" collapsed="false">
      <c r="B2" s="8" t="s">
        <v>16</v>
      </c>
      <c r="C2" s="8"/>
    </row>
    <row r="4" customFormat="false" ht="18" hidden="false" customHeight="true" outlineLevel="0" collapsed="false">
      <c r="B4" s="4" t="s">
        <v>17</v>
      </c>
      <c r="C4" s="4"/>
    </row>
    <row r="5" customFormat="false" ht="42" hidden="false" customHeight="true" outlineLevel="0" collapsed="false">
      <c r="B5" s="9" t="s">
        <v>18</v>
      </c>
      <c r="C5" s="9"/>
    </row>
    <row r="7" customFormat="false" ht="18" hidden="false" customHeight="true" outlineLevel="0" collapsed="false">
      <c r="B7" s="4" t="s">
        <v>19</v>
      </c>
      <c r="C7" s="4"/>
    </row>
    <row r="8" customFormat="false" ht="42" hidden="false" customHeight="true" outlineLevel="0" collapsed="false">
      <c r="B8" s="9" t="s">
        <v>20</v>
      </c>
      <c r="C8" s="9"/>
    </row>
    <row r="10" customFormat="false" ht="18" hidden="false" customHeight="true" outlineLevel="0" collapsed="false">
      <c r="B10" s="4" t="s">
        <v>21</v>
      </c>
      <c r="C10" s="4"/>
    </row>
    <row r="11" customFormat="false" ht="42" hidden="false" customHeight="true" outlineLevel="0" collapsed="false">
      <c r="B11" s="9" t="s">
        <v>22</v>
      </c>
      <c r="C11" s="9"/>
    </row>
    <row r="13" customFormat="false" ht="18" hidden="false" customHeight="true" outlineLevel="0" collapsed="false">
      <c r="B13" s="4" t="s">
        <v>23</v>
      </c>
      <c r="C13" s="4"/>
    </row>
    <row r="14" customFormat="false" ht="42" hidden="false" customHeight="true" outlineLevel="0" collapsed="false">
      <c r="B14" s="9" t="s">
        <v>24</v>
      </c>
      <c r="C14" s="9"/>
    </row>
    <row r="16" customFormat="false" ht="18" hidden="false" customHeight="true" outlineLevel="0" collapsed="false">
      <c r="B16" s="4" t="s">
        <v>25</v>
      </c>
      <c r="C16" s="4"/>
    </row>
    <row r="17" customFormat="false" ht="42" hidden="false" customHeight="true" outlineLevel="0" collapsed="false">
      <c r="B17" s="9" t="s">
        <v>26</v>
      </c>
      <c r="C17" s="9"/>
    </row>
    <row r="19" customFormat="false" ht="18" hidden="false" customHeight="true" outlineLevel="0" collapsed="false">
      <c r="B19" s="4" t="s">
        <v>27</v>
      </c>
      <c r="C19" s="4"/>
    </row>
    <row r="20" customFormat="false" ht="42" hidden="false" customHeight="true" outlineLevel="0" collapsed="false">
      <c r="B20" s="9" t="s">
        <v>28</v>
      </c>
      <c r="C20" s="9"/>
    </row>
    <row r="22" customFormat="false" ht="18" hidden="false" customHeight="true" outlineLevel="0" collapsed="false">
      <c r="B22" s="4" t="s">
        <v>29</v>
      </c>
      <c r="C22" s="4"/>
    </row>
    <row r="23" customFormat="false" ht="42" hidden="false" customHeight="true" outlineLevel="0" collapsed="false">
      <c r="B23" s="9" t="s">
        <v>30</v>
      </c>
      <c r="C23" s="9"/>
    </row>
    <row r="25" customFormat="false" ht="15" hidden="false" customHeight="false" outlineLevel="0" collapsed="false">
      <c r="B25" s="7" t="s">
        <v>31</v>
      </c>
      <c r="C25" s="7"/>
    </row>
  </sheetData>
  <sheetProtection sheet="true" password="ee36" formatCells="false" formatColumns="false" formatRows="false" insertRows="false" selectLockedCells="true" selectUnlockedCells="true"/>
  <mergeCells count="16">
    <mergeCell ref="B2:C2"/>
    <mergeCell ref="B4:C4"/>
    <mergeCell ref="B5:C5"/>
    <mergeCell ref="B7:C7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"/>
  </cols>
  <sheetData>
    <row r="2" customFormat="false" ht="25.5" hidden="false" customHeight="true" outlineLevel="0" collapsed="false">
      <c r="B2" s="8" t="s">
        <v>32</v>
      </c>
      <c r="C2" s="8"/>
      <c r="D2" s="8"/>
    </row>
    <row r="4" customFormat="false" ht="21.75" hidden="false" customHeight="true" outlineLevel="0" collapsed="false">
      <c r="B4" s="10" t="s">
        <v>33</v>
      </c>
      <c r="C4" s="10" t="s">
        <v>34</v>
      </c>
      <c r="D4" s="10" t="s">
        <v>35</v>
      </c>
    </row>
    <row r="5" customFormat="false" ht="18" hidden="false" customHeight="true" outlineLevel="0" collapsed="false">
      <c r="B5" s="11" t="s">
        <v>36</v>
      </c>
      <c r="C5" s="12" t="s">
        <v>37</v>
      </c>
      <c r="D5" s="13" t="s">
        <v>38</v>
      </c>
    </row>
    <row r="6" customFormat="false" ht="18" hidden="false" customHeight="true" outlineLevel="0" collapsed="false">
      <c r="B6" s="11" t="s">
        <v>39</v>
      </c>
      <c r="C6" s="12" t="s">
        <v>40</v>
      </c>
      <c r="D6" s="13" t="s">
        <v>41</v>
      </c>
    </row>
    <row r="7" customFormat="false" ht="18" hidden="false" customHeight="true" outlineLevel="0" collapsed="false">
      <c r="B7" s="11" t="s">
        <v>42</v>
      </c>
      <c r="C7" s="12" t="n">
        <v>3.75</v>
      </c>
      <c r="D7" s="13" t="s">
        <v>43</v>
      </c>
    </row>
    <row r="8" customFormat="false" ht="18" hidden="false" customHeight="true" outlineLevel="0" collapsed="false">
      <c r="B8" s="11" t="s">
        <v>44</v>
      </c>
      <c r="C8" s="12" t="s">
        <v>45</v>
      </c>
      <c r="D8" s="13" t="s">
        <v>46</v>
      </c>
    </row>
    <row r="9" customFormat="false" ht="18" hidden="false" customHeight="true" outlineLevel="0" collapsed="false">
      <c r="B9" s="11" t="s">
        <v>47</v>
      </c>
      <c r="C9" s="12" t="n">
        <v>2026</v>
      </c>
      <c r="D9" s="13" t="s">
        <v>48</v>
      </c>
    </row>
    <row r="10" customFormat="false" ht="18" hidden="false" customHeight="true" outlineLevel="0" collapsed="false">
      <c r="B10" s="14" t="s">
        <v>49</v>
      </c>
      <c r="C10" s="15"/>
      <c r="D10" s="15"/>
    </row>
    <row r="11" customFormat="false" ht="18" hidden="false" customHeight="true" outlineLevel="0" collapsed="false">
      <c r="B11" s="16" t="s">
        <v>50</v>
      </c>
      <c r="C11" s="17" t="n">
        <f aca="false">IF(C8="USD",1/C7,1)</f>
        <v>1</v>
      </c>
      <c r="D11" s="18" t="s">
        <v>51</v>
      </c>
    </row>
    <row r="12" customFormat="false" ht="18" hidden="false" customHeight="true" outlineLevel="0" collapsed="false">
      <c r="B12" s="16" t="s">
        <v>52</v>
      </c>
      <c r="C12" s="19" t="str">
        <f aca="false">IF(C8="USD","US$",C6)</f>
        <v>S/</v>
      </c>
      <c r="D12" s="18" t="s">
        <v>53</v>
      </c>
    </row>
    <row r="14" customFormat="false" ht="15" hidden="false" customHeight="true" outlineLevel="0" collapsed="false">
      <c r="B14" s="20" t="s">
        <v>54</v>
      </c>
      <c r="C14" s="20"/>
      <c r="D14" s="20"/>
    </row>
  </sheetData>
  <sheetProtection sheet="true" password="ee36" formatCells="false" formatColumns="false" formatRows="false" insertRows="false" selectLockedCells="true" selectUnlockedCells="true"/>
  <mergeCells count="2">
    <mergeCell ref="B2:D2"/>
    <mergeCell ref="B14:D14"/>
  </mergeCells>
  <dataValidations count="1">
    <dataValidation allowBlank="false" errorStyle="stop" operator="between" showDropDown="false" showErrorMessage="false" showInputMessage="false" sqref="C8" type="list">
      <formula1>"Local,USD"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8" min="6" style="0" width="15"/>
    <col collapsed="false" customWidth="true" hidden="false" outlineLevel="0" max="9" min="9" style="0" width="14"/>
    <col collapsed="false" customWidth="true" hidden="false" outlineLevel="0" max="10" min="10" style="0" width="11"/>
  </cols>
  <sheetData>
    <row r="2" customFormat="false" ht="25.5" hidden="false" customHeight="true" outlineLevel="0" collapsed="false">
      <c r="A2" s="8" t="s">
        <v>55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15" hidden="false" customHeight="false" outlineLevel="0" collapsed="false">
      <c r="A3" s="7" t="s">
        <v>56</v>
      </c>
      <c r="B3" s="7"/>
      <c r="C3" s="7"/>
      <c r="D3" s="7"/>
      <c r="E3" s="7"/>
      <c r="F3" s="7"/>
      <c r="G3" s="7"/>
      <c r="H3" s="7"/>
      <c r="I3" s="7"/>
      <c r="J3" s="7"/>
    </row>
    <row r="4" customFormat="false" ht="30" hidden="false" customHeight="true" outlineLevel="0" collapsed="false">
      <c r="A4" s="10" t="s">
        <v>57</v>
      </c>
      <c r="B4" s="10" t="s">
        <v>58</v>
      </c>
      <c r="C4" s="10" t="s">
        <v>59</v>
      </c>
      <c r="D4" s="10" t="s">
        <v>60</v>
      </c>
      <c r="E4" s="10" t="s">
        <v>61</v>
      </c>
      <c r="F4" s="10" t="s">
        <v>62</v>
      </c>
      <c r="G4" s="10" t="s">
        <v>63</v>
      </c>
      <c r="H4" s="10" t="s">
        <v>64</v>
      </c>
      <c r="I4" s="10" t="s">
        <v>65</v>
      </c>
      <c r="J4" s="10" t="s">
        <v>66</v>
      </c>
    </row>
    <row r="5" customFormat="false" ht="15" hidden="false" customHeight="false" outlineLevel="0" collapsed="false">
      <c r="A5" s="21" t="s">
        <v>67</v>
      </c>
      <c r="B5" s="21" t="s">
        <v>68</v>
      </c>
      <c r="C5" s="22" t="n">
        <v>3000</v>
      </c>
      <c r="D5" s="23" t="n">
        <v>0.28</v>
      </c>
      <c r="E5" s="22" t="n">
        <v>150</v>
      </c>
      <c r="F5" s="24" t="n">
        <f aca="false">SUMIFS(Pagos!$C$5:$C$204,Pagos!$B$5:$B$204,$A5)</f>
        <v>800</v>
      </c>
      <c r="G5" s="24" t="n">
        <f aca="false">SUMIFS(Pagos!$D$5:$D$204,Pagos!$B$5:$B$204,$A5)</f>
        <v>183</v>
      </c>
      <c r="H5" s="24" t="n">
        <f aca="false">SUMIFS(Pagos!$E$5:$E$204,Pagos!$B$5:$B$204,$A5)</f>
        <v>617</v>
      </c>
      <c r="I5" s="24" t="n">
        <f aca="false">IF($A5="","",$C5-$H5)</f>
        <v>2383</v>
      </c>
      <c r="J5" s="25" t="n">
        <f aca="false">IF(OR($A5="",$C5=0),0,$H5/$C5)</f>
        <v>0.205666666666667</v>
      </c>
    </row>
    <row r="6" customFormat="false" ht="15" hidden="false" customHeight="false" outlineLevel="0" collapsed="false">
      <c r="A6" s="21" t="s">
        <v>69</v>
      </c>
      <c r="B6" s="21" t="s">
        <v>68</v>
      </c>
      <c r="C6" s="22" t="n">
        <v>1500</v>
      </c>
      <c r="D6" s="23" t="n">
        <v>0.32</v>
      </c>
      <c r="E6" s="22" t="n">
        <v>80</v>
      </c>
      <c r="F6" s="24" t="n">
        <f aca="false">SUMIFS(Pagos!$C$5:$C$204,Pagos!$B$5:$B$204,$A6)</f>
        <v>360</v>
      </c>
      <c r="G6" s="24" t="n">
        <f aca="false">SUMIFS(Pagos!$D$5:$D$204,Pagos!$B$5:$B$204,$A6)</f>
        <v>106</v>
      </c>
      <c r="H6" s="24" t="n">
        <f aca="false">SUMIFS(Pagos!$E$5:$E$204,Pagos!$B$5:$B$204,$A6)</f>
        <v>254</v>
      </c>
      <c r="I6" s="24" t="n">
        <f aca="false">IF($A6="","",$C6-$H6)</f>
        <v>1246</v>
      </c>
      <c r="J6" s="25" t="n">
        <f aca="false">IF(OR($A6="",$C6=0),0,$H6/$C6)</f>
        <v>0.169333333333333</v>
      </c>
    </row>
    <row r="7" customFormat="false" ht="15" hidden="false" customHeight="false" outlineLevel="0" collapsed="false">
      <c r="A7" s="21" t="s">
        <v>70</v>
      </c>
      <c r="B7" s="21" t="s">
        <v>71</v>
      </c>
      <c r="C7" s="22" t="n">
        <v>8000</v>
      </c>
      <c r="D7" s="23" t="n">
        <v>0.12</v>
      </c>
      <c r="E7" s="22" t="n">
        <v>320</v>
      </c>
      <c r="F7" s="24" t="n">
        <f aca="false">SUMIFS(Pagos!$C$5:$C$204,Pagos!$B$5:$B$204,$A7)</f>
        <v>960</v>
      </c>
      <c r="G7" s="24" t="n">
        <f aca="false">SUMIFS(Pagos!$D$5:$D$204,Pagos!$B$5:$B$204,$A7)</f>
        <v>223</v>
      </c>
      <c r="H7" s="24" t="n">
        <f aca="false">SUMIFS(Pagos!$E$5:$E$204,Pagos!$B$5:$B$204,$A7)</f>
        <v>737</v>
      </c>
      <c r="I7" s="24" t="n">
        <f aca="false">IF($A7="","",$C7-$H7)</f>
        <v>7263</v>
      </c>
      <c r="J7" s="25" t="n">
        <f aca="false">IF(OR($A7="",$C7=0),0,$H7/$C7)</f>
        <v>0.092125</v>
      </c>
    </row>
    <row r="8" customFormat="false" ht="15" hidden="false" customHeight="false" outlineLevel="0" collapsed="false">
      <c r="A8" s="21" t="s">
        <v>72</v>
      </c>
      <c r="B8" s="21" t="s">
        <v>72</v>
      </c>
      <c r="C8" s="22" t="n">
        <v>2000</v>
      </c>
      <c r="D8" s="23" t="n">
        <v>0.18</v>
      </c>
      <c r="E8" s="22" t="n">
        <v>150</v>
      </c>
      <c r="F8" s="24" t="n">
        <f aca="false">SUMIFS(Pagos!$C$5:$C$204,Pagos!$B$5:$B$204,$A8)</f>
        <v>450</v>
      </c>
      <c r="G8" s="24" t="n">
        <f aca="false">SUMIFS(Pagos!$D$5:$D$204,Pagos!$B$5:$B$204,$A8)</f>
        <v>78</v>
      </c>
      <c r="H8" s="24" t="n">
        <f aca="false">SUMIFS(Pagos!$E$5:$E$204,Pagos!$B$5:$B$204,$A8)</f>
        <v>372</v>
      </c>
      <c r="I8" s="24" t="n">
        <f aca="false">IF($A8="","",$C8-$H8)</f>
        <v>1628</v>
      </c>
      <c r="J8" s="25" t="n">
        <f aca="false">IF(OR($A8="",$C8=0),0,$H8/$C8)</f>
        <v>0.186</v>
      </c>
    </row>
    <row r="9" customFormat="false" ht="15" hidden="false" customHeight="false" outlineLevel="0" collapsed="false">
      <c r="A9" s="21" t="s">
        <v>73</v>
      </c>
      <c r="B9" s="21" t="s">
        <v>73</v>
      </c>
      <c r="C9" s="22" t="n">
        <v>45000</v>
      </c>
      <c r="D9" s="23" t="n">
        <v>0.08</v>
      </c>
      <c r="E9" s="22" t="n">
        <v>450</v>
      </c>
      <c r="F9" s="24" t="n">
        <f aca="false">SUMIFS(Pagos!$C$5:$C$204,Pagos!$B$5:$B$204,$A9)</f>
        <v>1350</v>
      </c>
      <c r="G9" s="24" t="n">
        <f aca="false">SUMIFS(Pagos!$D$5:$D$204,Pagos!$B$5:$B$204,$A9)</f>
        <v>876</v>
      </c>
      <c r="H9" s="24" t="n">
        <f aca="false">SUMIFS(Pagos!$E$5:$E$204,Pagos!$B$5:$B$204,$A9)</f>
        <v>474</v>
      </c>
      <c r="I9" s="24" t="n">
        <f aca="false">IF($A9="","",$C9-$H9)</f>
        <v>44526</v>
      </c>
      <c r="J9" s="25" t="n">
        <f aca="false">IF(OR($A9="",$C9=0),0,$H9/$C9)</f>
        <v>0.0105333333333333</v>
      </c>
    </row>
    <row r="10" customFormat="false" ht="15" hidden="false" customHeight="false" outlineLevel="0" collapsed="false">
      <c r="A10" s="21"/>
      <c r="B10" s="21"/>
      <c r="C10" s="22"/>
      <c r="D10" s="23"/>
      <c r="E10" s="22"/>
      <c r="F10" s="24" t="n">
        <f aca="false">SUMIFS(Pagos!$C$5:$C$204,Pagos!$B$5:$B$204,$A10)</f>
        <v>0</v>
      </c>
      <c r="G10" s="24" t="n">
        <f aca="false">SUMIFS(Pagos!$D$5:$D$204,Pagos!$B$5:$B$204,$A10)</f>
        <v>0</v>
      </c>
      <c r="H10" s="24" t="n">
        <f aca="false">SUMIFS(Pagos!$E$5:$E$204,Pagos!$B$5:$B$204,$A10)</f>
        <v>0</v>
      </c>
      <c r="I10" s="24" t="str">
        <f aca="false">IF($A10="","",$C10-$H10)</f>
        <v/>
      </c>
      <c r="J10" s="25" t="n">
        <f aca="false">IF(OR($A10="",$C10=0),0,$H10/$C10)</f>
        <v>0</v>
      </c>
    </row>
    <row r="11" customFormat="false" ht="15" hidden="false" customHeight="false" outlineLevel="0" collapsed="false">
      <c r="A11" s="21"/>
      <c r="B11" s="21"/>
      <c r="C11" s="22"/>
      <c r="D11" s="23"/>
      <c r="E11" s="22"/>
      <c r="F11" s="24" t="n">
        <f aca="false">SUMIFS(Pagos!$C$5:$C$204,Pagos!$B$5:$B$204,$A11)</f>
        <v>0</v>
      </c>
      <c r="G11" s="24" t="n">
        <f aca="false">SUMIFS(Pagos!$D$5:$D$204,Pagos!$B$5:$B$204,$A11)</f>
        <v>0</v>
      </c>
      <c r="H11" s="24" t="n">
        <f aca="false">SUMIFS(Pagos!$E$5:$E$204,Pagos!$B$5:$B$204,$A11)</f>
        <v>0</v>
      </c>
      <c r="I11" s="24" t="str">
        <f aca="false">IF($A11="","",$C11-$H11)</f>
        <v/>
      </c>
      <c r="J11" s="25" t="n">
        <f aca="false">IF(OR($A11="",$C11=0),0,$H11/$C11)</f>
        <v>0</v>
      </c>
    </row>
    <row r="12" customFormat="false" ht="15" hidden="false" customHeight="false" outlineLevel="0" collapsed="false">
      <c r="A12" s="21"/>
      <c r="B12" s="21"/>
      <c r="C12" s="22"/>
      <c r="D12" s="23"/>
      <c r="E12" s="22"/>
      <c r="F12" s="24" t="n">
        <f aca="false">SUMIFS(Pagos!$C$5:$C$204,Pagos!$B$5:$B$204,$A12)</f>
        <v>0</v>
      </c>
      <c r="G12" s="24" t="n">
        <f aca="false">SUMIFS(Pagos!$D$5:$D$204,Pagos!$B$5:$B$204,$A12)</f>
        <v>0</v>
      </c>
      <c r="H12" s="24" t="n">
        <f aca="false">SUMIFS(Pagos!$E$5:$E$204,Pagos!$B$5:$B$204,$A12)</f>
        <v>0</v>
      </c>
      <c r="I12" s="24" t="str">
        <f aca="false">IF($A12="","",$C12-$H12)</f>
        <v/>
      </c>
      <c r="J12" s="25" t="n">
        <f aca="false">IF(OR($A12="",$C12=0),0,$H12/$C12)</f>
        <v>0</v>
      </c>
    </row>
    <row r="13" customFormat="false" ht="15" hidden="false" customHeight="false" outlineLevel="0" collapsed="false">
      <c r="A13" s="21"/>
      <c r="B13" s="21"/>
      <c r="C13" s="22"/>
      <c r="D13" s="23"/>
      <c r="E13" s="22"/>
      <c r="F13" s="24" t="n">
        <f aca="false">SUMIFS(Pagos!$C$5:$C$204,Pagos!$B$5:$B$204,$A13)</f>
        <v>0</v>
      </c>
      <c r="G13" s="24" t="n">
        <f aca="false">SUMIFS(Pagos!$D$5:$D$204,Pagos!$B$5:$B$204,$A13)</f>
        <v>0</v>
      </c>
      <c r="H13" s="24" t="n">
        <f aca="false">SUMIFS(Pagos!$E$5:$E$204,Pagos!$B$5:$B$204,$A13)</f>
        <v>0</v>
      </c>
      <c r="I13" s="24" t="str">
        <f aca="false">IF($A13="","",$C13-$H13)</f>
        <v/>
      </c>
      <c r="J13" s="25" t="n">
        <f aca="false">IF(OR($A13="",$C13=0),0,$H13/$C13)</f>
        <v>0</v>
      </c>
    </row>
    <row r="14" customFormat="false" ht="15" hidden="false" customHeight="false" outlineLevel="0" collapsed="false">
      <c r="A14" s="21"/>
      <c r="B14" s="21"/>
      <c r="C14" s="22"/>
      <c r="D14" s="23"/>
      <c r="E14" s="22"/>
      <c r="F14" s="24" t="n">
        <f aca="false">SUMIFS(Pagos!$C$5:$C$204,Pagos!$B$5:$B$204,$A14)</f>
        <v>0</v>
      </c>
      <c r="G14" s="24" t="n">
        <f aca="false">SUMIFS(Pagos!$D$5:$D$204,Pagos!$B$5:$B$204,$A14)</f>
        <v>0</v>
      </c>
      <c r="H14" s="24" t="n">
        <f aca="false">SUMIFS(Pagos!$E$5:$E$204,Pagos!$B$5:$B$204,$A14)</f>
        <v>0</v>
      </c>
      <c r="I14" s="24" t="str">
        <f aca="false">IF($A14="","",$C14-$H14)</f>
        <v/>
      </c>
      <c r="J14" s="25" t="n">
        <f aca="false">IF(OR($A14="",$C14=0),0,$H14/$C14)</f>
        <v>0</v>
      </c>
    </row>
    <row r="15" customFormat="false" ht="15" hidden="false" customHeight="false" outlineLevel="0" collapsed="false">
      <c r="A15" s="26" t="s">
        <v>74</v>
      </c>
      <c r="B15" s="27"/>
      <c r="C15" s="28" t="n">
        <f aca="false">SUM(C5:C14)</f>
        <v>59500</v>
      </c>
      <c r="D15" s="27"/>
      <c r="E15" s="28" t="n">
        <f aca="false">SUM(E5:E14)</f>
        <v>1150</v>
      </c>
      <c r="F15" s="28" t="n">
        <f aca="false">SUM(F5:F14)</f>
        <v>3920</v>
      </c>
      <c r="G15" s="28" t="n">
        <f aca="false">SUM(G5:G14)</f>
        <v>1466</v>
      </c>
      <c r="H15" s="28" t="n">
        <f aca="false">SUM(H5:H14)</f>
        <v>2454</v>
      </c>
      <c r="I15" s="28" t="n">
        <f aca="false">SUM(I5:I14)</f>
        <v>57046</v>
      </c>
      <c r="J15" s="29" t="n">
        <f aca="false">IF(C15=0,0,H15/C15)</f>
        <v>0.0412436974789916</v>
      </c>
    </row>
  </sheetData>
  <sheetProtection sheet="true" password="ee36" formatCells="false" formatColumns="false" formatRows="false" insertRows="false" selectLockedCells="true" selectUnlockedCells="true"/>
  <mergeCells count="2">
    <mergeCell ref="A2:J2"/>
    <mergeCell ref="A3:J3"/>
  </mergeCells>
  <dataValidations count="2">
    <dataValidation allowBlank="true" errorStyle="stop" operator="between" showDropDown="false" showErrorMessage="false" showInputMessage="false" sqref="B5:B14" type="list">
      <formula1>"Tarjeta de crédito,Préstamo personal,Préstamo vehicular,Hipoteca,Línea de crédito,Otro"</formula1>
      <formula2>0</formula2>
    </dataValidation>
    <dataValidation allowBlank="true" error="Ingresa un número igual o mayor a 0." errorStyle="stop" errorTitle="Valor inválido" operator="greaterThanOrEqual" showDropDown="false" showErrorMessage="true" showInputMessage="false" sqref="C5:E14" type="decimal">
      <formula1>0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3"/>
  </cols>
  <sheetData>
    <row r="2" customFormat="false" ht="25.5" hidden="false" customHeight="true" outlineLevel="0" collapsed="false">
      <c r="A2" s="8" t="s">
        <v>75</v>
      </c>
      <c r="B2" s="8"/>
      <c r="C2" s="8"/>
      <c r="D2" s="8"/>
      <c r="E2" s="8"/>
    </row>
    <row r="3" customFormat="false" ht="15" hidden="false" customHeight="false" outlineLevel="0" collapsed="false">
      <c r="A3" s="7" t="s">
        <v>76</v>
      </c>
      <c r="B3" s="7"/>
      <c r="C3" s="7"/>
      <c r="D3" s="7"/>
      <c r="E3" s="7"/>
    </row>
    <row r="4" customFormat="false" ht="21.75" hidden="false" customHeight="true" outlineLevel="0" collapsed="false">
      <c r="A4" s="10" t="s">
        <v>77</v>
      </c>
      <c r="B4" s="10" t="s">
        <v>57</v>
      </c>
      <c r="C4" s="10" t="s">
        <v>78</v>
      </c>
      <c r="D4" s="10" t="s">
        <v>79</v>
      </c>
      <c r="E4" s="10" t="s">
        <v>80</v>
      </c>
    </row>
    <row r="5" customFormat="false" ht="15" hidden="false" customHeight="false" outlineLevel="0" collapsed="false">
      <c r="A5" s="30" t="n">
        <v>46027</v>
      </c>
      <c r="B5" s="21" t="s">
        <v>67</v>
      </c>
      <c r="C5" s="22" t="n">
        <v>250</v>
      </c>
      <c r="D5" s="22" t="n">
        <v>65</v>
      </c>
      <c r="E5" s="24" t="n">
        <f aca="false">IF(C5="","",C5-D5)</f>
        <v>185</v>
      </c>
    </row>
    <row r="6" customFormat="false" ht="15" hidden="false" customHeight="false" outlineLevel="0" collapsed="false">
      <c r="A6" s="30" t="n">
        <v>46030</v>
      </c>
      <c r="B6" s="21" t="s">
        <v>69</v>
      </c>
      <c r="C6" s="22" t="n">
        <v>120</v>
      </c>
      <c r="D6" s="22" t="n">
        <v>38</v>
      </c>
      <c r="E6" s="24" t="n">
        <f aca="false">IF(C6="","",C6-D6)</f>
        <v>82</v>
      </c>
    </row>
    <row r="7" customFormat="false" ht="15" hidden="false" customHeight="false" outlineLevel="0" collapsed="false">
      <c r="A7" s="30" t="n">
        <v>46032</v>
      </c>
      <c r="B7" s="21" t="s">
        <v>70</v>
      </c>
      <c r="C7" s="22" t="n">
        <v>320</v>
      </c>
      <c r="D7" s="22" t="n">
        <v>78</v>
      </c>
      <c r="E7" s="24" t="n">
        <f aca="false">IF(C7="","",C7-D7)</f>
        <v>242</v>
      </c>
    </row>
    <row r="8" customFormat="false" ht="15" hidden="false" customHeight="false" outlineLevel="0" collapsed="false">
      <c r="A8" s="30" t="n">
        <v>46034</v>
      </c>
      <c r="B8" s="21" t="s">
        <v>72</v>
      </c>
      <c r="C8" s="22" t="n">
        <v>150</v>
      </c>
      <c r="D8" s="22" t="n">
        <v>28</v>
      </c>
      <c r="E8" s="24" t="n">
        <f aca="false">IF(C8="","",C8-D8)</f>
        <v>122</v>
      </c>
    </row>
    <row r="9" customFormat="false" ht="15" hidden="false" customHeight="false" outlineLevel="0" collapsed="false">
      <c r="A9" s="30" t="n">
        <v>46037</v>
      </c>
      <c r="B9" s="21" t="s">
        <v>73</v>
      </c>
      <c r="C9" s="22" t="n">
        <v>450</v>
      </c>
      <c r="D9" s="22" t="n">
        <v>295</v>
      </c>
      <c r="E9" s="24" t="n">
        <f aca="false">IF(C9="","",C9-D9)</f>
        <v>155</v>
      </c>
    </row>
    <row r="10" customFormat="false" ht="15" hidden="false" customHeight="false" outlineLevel="0" collapsed="false">
      <c r="A10" s="30" t="n">
        <v>46058</v>
      </c>
      <c r="B10" s="21" t="s">
        <v>67</v>
      </c>
      <c r="C10" s="22" t="n">
        <v>250</v>
      </c>
      <c r="D10" s="22" t="n">
        <v>60</v>
      </c>
      <c r="E10" s="24" t="n">
        <f aca="false">IF(C10="","",C10-D10)</f>
        <v>190</v>
      </c>
    </row>
    <row r="11" customFormat="false" ht="15" hidden="false" customHeight="false" outlineLevel="0" collapsed="false">
      <c r="A11" s="30" t="n">
        <v>46061</v>
      </c>
      <c r="B11" s="21" t="s">
        <v>69</v>
      </c>
      <c r="C11" s="22" t="n">
        <v>120</v>
      </c>
      <c r="D11" s="22" t="n">
        <v>35</v>
      </c>
      <c r="E11" s="24" t="n">
        <f aca="false">IF(C11="","",C11-D11)</f>
        <v>85</v>
      </c>
    </row>
    <row r="12" customFormat="false" ht="15" hidden="false" customHeight="false" outlineLevel="0" collapsed="false">
      <c r="A12" s="30" t="n">
        <v>46063</v>
      </c>
      <c r="B12" s="21" t="s">
        <v>70</v>
      </c>
      <c r="C12" s="22" t="n">
        <v>320</v>
      </c>
      <c r="D12" s="22" t="n">
        <v>74</v>
      </c>
      <c r="E12" s="24" t="n">
        <f aca="false">IF(C12="","",C12-D12)</f>
        <v>246</v>
      </c>
    </row>
    <row r="13" customFormat="false" ht="15" hidden="false" customHeight="false" outlineLevel="0" collapsed="false">
      <c r="A13" s="30" t="n">
        <v>46065</v>
      </c>
      <c r="B13" s="21" t="s">
        <v>72</v>
      </c>
      <c r="C13" s="22" t="n">
        <v>150</v>
      </c>
      <c r="D13" s="22" t="n">
        <v>26</v>
      </c>
      <c r="E13" s="24" t="n">
        <f aca="false">IF(C13="","",C13-D13)</f>
        <v>124</v>
      </c>
    </row>
    <row r="14" customFormat="false" ht="15" hidden="false" customHeight="false" outlineLevel="0" collapsed="false">
      <c r="A14" s="30" t="n">
        <v>46068</v>
      </c>
      <c r="B14" s="21" t="s">
        <v>73</v>
      </c>
      <c r="C14" s="22" t="n">
        <v>450</v>
      </c>
      <c r="D14" s="22" t="n">
        <v>292</v>
      </c>
      <c r="E14" s="24" t="n">
        <f aca="false">IF(C14="","",C14-D14)</f>
        <v>158</v>
      </c>
    </row>
    <row r="15" customFormat="false" ht="15" hidden="false" customHeight="false" outlineLevel="0" collapsed="false">
      <c r="A15" s="30" t="n">
        <v>46086</v>
      </c>
      <c r="B15" s="21" t="s">
        <v>67</v>
      </c>
      <c r="C15" s="22" t="n">
        <v>300</v>
      </c>
      <c r="D15" s="22" t="n">
        <v>58</v>
      </c>
      <c r="E15" s="24" t="n">
        <f aca="false">IF(C15="","",C15-D15)</f>
        <v>242</v>
      </c>
    </row>
    <row r="16" customFormat="false" ht="15" hidden="false" customHeight="false" outlineLevel="0" collapsed="false">
      <c r="A16" s="30" t="n">
        <v>46089</v>
      </c>
      <c r="B16" s="21" t="s">
        <v>69</v>
      </c>
      <c r="C16" s="22" t="n">
        <v>120</v>
      </c>
      <c r="D16" s="22" t="n">
        <v>33</v>
      </c>
      <c r="E16" s="24" t="n">
        <f aca="false">IF(C16="","",C16-D16)</f>
        <v>87</v>
      </c>
    </row>
    <row r="17" customFormat="false" ht="15" hidden="false" customHeight="false" outlineLevel="0" collapsed="false">
      <c r="A17" s="30" t="n">
        <v>46091</v>
      </c>
      <c r="B17" s="21" t="s">
        <v>70</v>
      </c>
      <c r="C17" s="22" t="n">
        <v>320</v>
      </c>
      <c r="D17" s="22" t="n">
        <v>71</v>
      </c>
      <c r="E17" s="24" t="n">
        <f aca="false">IF(C17="","",C17-D17)</f>
        <v>249</v>
      </c>
    </row>
    <row r="18" customFormat="false" ht="15" hidden="false" customHeight="false" outlineLevel="0" collapsed="false">
      <c r="A18" s="30" t="n">
        <v>46093</v>
      </c>
      <c r="B18" s="21" t="s">
        <v>72</v>
      </c>
      <c r="C18" s="22" t="n">
        <v>150</v>
      </c>
      <c r="D18" s="22" t="n">
        <v>24</v>
      </c>
      <c r="E18" s="24" t="n">
        <f aca="false">IF(C18="","",C18-D18)</f>
        <v>126</v>
      </c>
    </row>
    <row r="19" customFormat="false" ht="15" hidden="false" customHeight="false" outlineLevel="0" collapsed="false">
      <c r="A19" s="30" t="n">
        <v>46096</v>
      </c>
      <c r="B19" s="21" t="s">
        <v>73</v>
      </c>
      <c r="C19" s="22" t="n">
        <v>450</v>
      </c>
      <c r="D19" s="22" t="n">
        <v>289</v>
      </c>
      <c r="E19" s="24" t="n">
        <f aca="false">IF(C19="","",C19-D19)</f>
        <v>161</v>
      </c>
    </row>
    <row r="20" customFormat="false" ht="15" hidden="false" customHeight="false" outlineLevel="0" collapsed="false">
      <c r="A20" s="30"/>
      <c r="B20" s="21"/>
      <c r="C20" s="22"/>
      <c r="D20" s="22"/>
      <c r="E20" s="24" t="str">
        <f aca="false">IF(C20="","",C20-D20)</f>
        <v/>
      </c>
    </row>
    <row r="21" customFormat="false" ht="15" hidden="false" customHeight="false" outlineLevel="0" collapsed="false">
      <c r="A21" s="30"/>
      <c r="B21" s="21"/>
      <c r="C21" s="22"/>
      <c r="D21" s="22"/>
      <c r="E21" s="24" t="str">
        <f aca="false">IF(C21="","",C21-D21)</f>
        <v/>
      </c>
    </row>
    <row r="22" customFormat="false" ht="15" hidden="false" customHeight="false" outlineLevel="0" collapsed="false">
      <c r="A22" s="30"/>
      <c r="B22" s="21"/>
      <c r="C22" s="22"/>
      <c r="D22" s="22"/>
      <c r="E22" s="24" t="str">
        <f aca="false">IF(C22="","",C22-D22)</f>
        <v/>
      </c>
    </row>
    <row r="23" customFormat="false" ht="15" hidden="false" customHeight="false" outlineLevel="0" collapsed="false">
      <c r="A23" s="30"/>
      <c r="B23" s="21"/>
      <c r="C23" s="22"/>
      <c r="D23" s="22"/>
      <c r="E23" s="24" t="str">
        <f aca="false">IF(C23="","",C23-D23)</f>
        <v/>
      </c>
    </row>
    <row r="24" customFormat="false" ht="15" hidden="false" customHeight="false" outlineLevel="0" collapsed="false">
      <c r="A24" s="30"/>
      <c r="B24" s="21"/>
      <c r="C24" s="22"/>
      <c r="D24" s="22"/>
      <c r="E24" s="24" t="str">
        <f aca="false">IF(C24="","",C24-D24)</f>
        <v/>
      </c>
    </row>
    <row r="25" customFormat="false" ht="15" hidden="false" customHeight="false" outlineLevel="0" collapsed="false">
      <c r="A25" s="30"/>
      <c r="B25" s="21"/>
      <c r="C25" s="22"/>
      <c r="D25" s="22"/>
      <c r="E25" s="24" t="str">
        <f aca="false">IF(C25="","",C25-D25)</f>
        <v/>
      </c>
    </row>
    <row r="26" customFormat="false" ht="15" hidden="false" customHeight="false" outlineLevel="0" collapsed="false">
      <c r="A26" s="30"/>
      <c r="B26" s="21"/>
      <c r="C26" s="22"/>
      <c r="D26" s="22"/>
      <c r="E26" s="24" t="str">
        <f aca="false">IF(C26="","",C26-D26)</f>
        <v/>
      </c>
    </row>
    <row r="27" customFormat="false" ht="15" hidden="false" customHeight="false" outlineLevel="0" collapsed="false">
      <c r="A27" s="30"/>
      <c r="B27" s="21"/>
      <c r="C27" s="22"/>
      <c r="D27" s="22"/>
      <c r="E27" s="24" t="str">
        <f aca="false">IF(C27="","",C27-D27)</f>
        <v/>
      </c>
    </row>
    <row r="28" customFormat="false" ht="15" hidden="false" customHeight="false" outlineLevel="0" collapsed="false">
      <c r="A28" s="30"/>
      <c r="B28" s="21"/>
      <c r="C28" s="22"/>
      <c r="D28" s="22"/>
      <c r="E28" s="24" t="str">
        <f aca="false">IF(C28="","",C28-D28)</f>
        <v/>
      </c>
    </row>
    <row r="29" customFormat="false" ht="15" hidden="false" customHeight="false" outlineLevel="0" collapsed="false">
      <c r="A29" s="30"/>
      <c r="B29" s="21"/>
      <c r="C29" s="22"/>
      <c r="D29" s="22"/>
      <c r="E29" s="24" t="str">
        <f aca="false">IF(C29="","",C29-D29)</f>
        <v/>
      </c>
    </row>
    <row r="30" customFormat="false" ht="15" hidden="false" customHeight="false" outlineLevel="0" collapsed="false">
      <c r="A30" s="30"/>
      <c r="B30" s="21"/>
      <c r="C30" s="22"/>
      <c r="D30" s="22"/>
      <c r="E30" s="24" t="str">
        <f aca="false">IF(C30="","",C30-D30)</f>
        <v/>
      </c>
    </row>
    <row r="31" customFormat="false" ht="15" hidden="false" customHeight="false" outlineLevel="0" collapsed="false">
      <c r="A31" s="30"/>
      <c r="B31" s="21"/>
      <c r="C31" s="22"/>
      <c r="D31" s="22"/>
      <c r="E31" s="24" t="str">
        <f aca="false">IF(C31="","",C31-D31)</f>
        <v/>
      </c>
    </row>
    <row r="32" customFormat="false" ht="15" hidden="false" customHeight="false" outlineLevel="0" collapsed="false">
      <c r="A32" s="30"/>
      <c r="B32" s="21"/>
      <c r="C32" s="22"/>
      <c r="D32" s="22"/>
      <c r="E32" s="24" t="str">
        <f aca="false">IF(C32="","",C32-D32)</f>
        <v/>
      </c>
    </row>
    <row r="33" customFormat="false" ht="15" hidden="false" customHeight="false" outlineLevel="0" collapsed="false">
      <c r="A33" s="30"/>
      <c r="B33" s="21"/>
      <c r="C33" s="22"/>
      <c r="D33" s="22"/>
      <c r="E33" s="24" t="str">
        <f aca="false">IF(C33="","",C33-D33)</f>
        <v/>
      </c>
    </row>
    <row r="34" customFormat="false" ht="15" hidden="false" customHeight="false" outlineLevel="0" collapsed="false">
      <c r="A34" s="30"/>
      <c r="B34" s="21"/>
      <c r="C34" s="22"/>
      <c r="D34" s="22"/>
      <c r="E34" s="24" t="str">
        <f aca="false">IF(C34="","",C34-D34)</f>
        <v/>
      </c>
    </row>
    <row r="35" customFormat="false" ht="15" hidden="false" customHeight="false" outlineLevel="0" collapsed="false">
      <c r="A35" s="30"/>
      <c r="B35" s="21"/>
      <c r="C35" s="22"/>
      <c r="D35" s="22"/>
      <c r="E35" s="24" t="str">
        <f aca="false">IF(C35="","",C35-D35)</f>
        <v/>
      </c>
    </row>
    <row r="36" customFormat="false" ht="15" hidden="false" customHeight="false" outlineLevel="0" collapsed="false">
      <c r="A36" s="30"/>
      <c r="B36" s="21"/>
      <c r="C36" s="22"/>
      <c r="D36" s="22"/>
      <c r="E36" s="24" t="str">
        <f aca="false">IF(C36="","",C36-D36)</f>
        <v/>
      </c>
    </row>
    <row r="37" customFormat="false" ht="15" hidden="false" customHeight="false" outlineLevel="0" collapsed="false">
      <c r="A37" s="30"/>
      <c r="B37" s="21"/>
      <c r="C37" s="22"/>
      <c r="D37" s="22"/>
      <c r="E37" s="24" t="str">
        <f aca="false">IF(C37="","",C37-D37)</f>
        <v/>
      </c>
    </row>
    <row r="38" customFormat="false" ht="15" hidden="false" customHeight="false" outlineLevel="0" collapsed="false">
      <c r="A38" s="30"/>
      <c r="B38" s="21"/>
      <c r="C38" s="22"/>
      <c r="D38" s="22"/>
      <c r="E38" s="24" t="str">
        <f aca="false">IF(C38="","",C38-D38)</f>
        <v/>
      </c>
    </row>
    <row r="39" customFormat="false" ht="15" hidden="false" customHeight="false" outlineLevel="0" collapsed="false">
      <c r="A39" s="30"/>
      <c r="B39" s="21"/>
      <c r="C39" s="22"/>
      <c r="D39" s="22"/>
      <c r="E39" s="24" t="str">
        <f aca="false">IF(C39="","",C39-D39)</f>
        <v/>
      </c>
    </row>
    <row r="40" customFormat="false" ht="15" hidden="false" customHeight="false" outlineLevel="0" collapsed="false">
      <c r="A40" s="30"/>
      <c r="B40" s="21"/>
      <c r="C40" s="22"/>
      <c r="D40" s="22"/>
      <c r="E40" s="24" t="str">
        <f aca="false">IF(C40="","",C40-D40)</f>
        <v/>
      </c>
    </row>
    <row r="41" customFormat="false" ht="15" hidden="false" customHeight="false" outlineLevel="0" collapsed="false">
      <c r="A41" s="30"/>
      <c r="B41" s="21"/>
      <c r="C41" s="22"/>
      <c r="D41" s="22"/>
      <c r="E41" s="24" t="str">
        <f aca="false">IF(C41="","",C41-D41)</f>
        <v/>
      </c>
    </row>
    <row r="42" customFormat="false" ht="15" hidden="false" customHeight="false" outlineLevel="0" collapsed="false">
      <c r="A42" s="30"/>
      <c r="B42" s="21"/>
      <c r="C42" s="22"/>
      <c r="D42" s="22"/>
      <c r="E42" s="24" t="str">
        <f aca="false">IF(C42="","",C42-D42)</f>
        <v/>
      </c>
    </row>
    <row r="43" customFormat="false" ht="15" hidden="false" customHeight="false" outlineLevel="0" collapsed="false">
      <c r="A43" s="30"/>
      <c r="B43" s="21"/>
      <c r="C43" s="22"/>
      <c r="D43" s="22"/>
      <c r="E43" s="24" t="str">
        <f aca="false">IF(C43="","",C43-D43)</f>
        <v/>
      </c>
    </row>
    <row r="44" customFormat="false" ht="15" hidden="false" customHeight="false" outlineLevel="0" collapsed="false">
      <c r="A44" s="30"/>
      <c r="B44" s="21"/>
      <c r="C44" s="22"/>
      <c r="D44" s="22"/>
      <c r="E44" s="24" t="str">
        <f aca="false">IF(C44="","",C44-D44)</f>
        <v/>
      </c>
    </row>
    <row r="45" customFormat="false" ht="15" hidden="false" customHeight="false" outlineLevel="0" collapsed="false">
      <c r="A45" s="30"/>
      <c r="B45" s="21"/>
      <c r="C45" s="22"/>
      <c r="D45" s="22"/>
      <c r="E45" s="24" t="str">
        <f aca="false">IF(C45="","",C45-D45)</f>
        <v/>
      </c>
    </row>
    <row r="46" customFormat="false" ht="15" hidden="false" customHeight="false" outlineLevel="0" collapsed="false">
      <c r="A46" s="30"/>
      <c r="B46" s="21"/>
      <c r="C46" s="22"/>
      <c r="D46" s="22"/>
      <c r="E46" s="24" t="str">
        <f aca="false">IF(C46="","",C46-D46)</f>
        <v/>
      </c>
    </row>
    <row r="47" customFormat="false" ht="15" hidden="false" customHeight="false" outlineLevel="0" collapsed="false">
      <c r="A47" s="30"/>
      <c r="B47" s="21"/>
      <c r="C47" s="22"/>
      <c r="D47" s="22"/>
      <c r="E47" s="24" t="str">
        <f aca="false">IF(C47="","",C47-D47)</f>
        <v/>
      </c>
    </row>
    <row r="48" customFormat="false" ht="15" hidden="false" customHeight="false" outlineLevel="0" collapsed="false">
      <c r="A48" s="30"/>
      <c r="B48" s="21"/>
      <c r="C48" s="22"/>
      <c r="D48" s="22"/>
      <c r="E48" s="24" t="str">
        <f aca="false">IF(C48="","",C48-D48)</f>
        <v/>
      </c>
    </row>
    <row r="49" customFormat="false" ht="15" hidden="false" customHeight="false" outlineLevel="0" collapsed="false">
      <c r="A49" s="30"/>
      <c r="B49" s="21"/>
      <c r="C49" s="22"/>
      <c r="D49" s="22"/>
      <c r="E49" s="24" t="str">
        <f aca="false">IF(C49="","",C49-D49)</f>
        <v/>
      </c>
    </row>
    <row r="50" customFormat="false" ht="15" hidden="false" customHeight="false" outlineLevel="0" collapsed="false">
      <c r="A50" s="30"/>
      <c r="B50" s="21"/>
      <c r="C50" s="22"/>
      <c r="D50" s="22"/>
      <c r="E50" s="24" t="str">
        <f aca="false">IF(C50="","",C50-D50)</f>
        <v/>
      </c>
    </row>
    <row r="51" customFormat="false" ht="15" hidden="false" customHeight="false" outlineLevel="0" collapsed="false">
      <c r="A51" s="30"/>
      <c r="B51" s="21"/>
      <c r="C51" s="22"/>
      <c r="D51" s="22"/>
      <c r="E51" s="24" t="str">
        <f aca="false">IF(C51="","",C51-D51)</f>
        <v/>
      </c>
    </row>
    <row r="52" customFormat="false" ht="15" hidden="false" customHeight="false" outlineLevel="0" collapsed="false">
      <c r="A52" s="30"/>
      <c r="B52" s="21"/>
      <c r="C52" s="22"/>
      <c r="D52" s="22"/>
      <c r="E52" s="24" t="str">
        <f aca="false">IF(C52="","",C52-D52)</f>
        <v/>
      </c>
    </row>
    <row r="53" customFormat="false" ht="15" hidden="false" customHeight="false" outlineLevel="0" collapsed="false">
      <c r="A53" s="30"/>
      <c r="B53" s="21"/>
      <c r="C53" s="22"/>
      <c r="D53" s="22"/>
      <c r="E53" s="24" t="str">
        <f aca="false">IF(C53="","",C53-D53)</f>
        <v/>
      </c>
    </row>
    <row r="54" customFormat="false" ht="15" hidden="false" customHeight="false" outlineLevel="0" collapsed="false">
      <c r="A54" s="30"/>
      <c r="B54" s="21"/>
      <c r="C54" s="22"/>
      <c r="D54" s="22"/>
      <c r="E54" s="24" t="str">
        <f aca="false">IF(C54="","",C54-D54)</f>
        <v/>
      </c>
    </row>
    <row r="55" customFormat="false" ht="15" hidden="false" customHeight="false" outlineLevel="0" collapsed="false">
      <c r="A55" s="30"/>
      <c r="B55" s="21"/>
      <c r="C55" s="22"/>
      <c r="D55" s="22"/>
      <c r="E55" s="24" t="str">
        <f aca="false">IF(C55="","",C55-D55)</f>
        <v/>
      </c>
    </row>
    <row r="56" customFormat="false" ht="15" hidden="false" customHeight="false" outlineLevel="0" collapsed="false">
      <c r="A56" s="30"/>
      <c r="B56" s="21"/>
      <c r="C56" s="22"/>
      <c r="D56" s="22"/>
      <c r="E56" s="24" t="str">
        <f aca="false">IF(C56="","",C56-D56)</f>
        <v/>
      </c>
    </row>
    <row r="57" customFormat="false" ht="15" hidden="false" customHeight="false" outlineLevel="0" collapsed="false">
      <c r="A57" s="30"/>
      <c r="B57" s="21"/>
      <c r="C57" s="22"/>
      <c r="D57" s="22"/>
      <c r="E57" s="24" t="str">
        <f aca="false">IF(C57="","",C57-D57)</f>
        <v/>
      </c>
    </row>
    <row r="58" customFormat="false" ht="15" hidden="false" customHeight="false" outlineLevel="0" collapsed="false">
      <c r="A58" s="30"/>
      <c r="B58" s="21"/>
      <c r="C58" s="22"/>
      <c r="D58" s="22"/>
      <c r="E58" s="24" t="str">
        <f aca="false">IF(C58="","",C58-D58)</f>
        <v/>
      </c>
    </row>
    <row r="59" customFormat="false" ht="15" hidden="false" customHeight="false" outlineLevel="0" collapsed="false">
      <c r="A59" s="30"/>
      <c r="B59" s="21"/>
      <c r="C59" s="22"/>
      <c r="D59" s="22"/>
      <c r="E59" s="24" t="str">
        <f aca="false">IF(C59="","",C59-D59)</f>
        <v/>
      </c>
    </row>
    <row r="60" customFormat="false" ht="15" hidden="false" customHeight="false" outlineLevel="0" collapsed="false">
      <c r="A60" s="30"/>
      <c r="B60" s="21"/>
      <c r="C60" s="22"/>
      <c r="D60" s="22"/>
      <c r="E60" s="24" t="str">
        <f aca="false">IF(C60="","",C60-D60)</f>
        <v/>
      </c>
    </row>
    <row r="61" customFormat="false" ht="15" hidden="false" customHeight="false" outlineLevel="0" collapsed="false">
      <c r="A61" s="30"/>
      <c r="B61" s="21"/>
      <c r="C61" s="22"/>
      <c r="D61" s="22"/>
      <c r="E61" s="24" t="str">
        <f aca="false">IF(C61="","",C61-D61)</f>
        <v/>
      </c>
    </row>
    <row r="62" customFormat="false" ht="15" hidden="false" customHeight="false" outlineLevel="0" collapsed="false">
      <c r="A62" s="30"/>
      <c r="B62" s="21"/>
      <c r="C62" s="22"/>
      <c r="D62" s="22"/>
      <c r="E62" s="24" t="str">
        <f aca="false">IF(C62="","",C62-D62)</f>
        <v/>
      </c>
    </row>
    <row r="63" customFormat="false" ht="15" hidden="false" customHeight="false" outlineLevel="0" collapsed="false">
      <c r="A63" s="30"/>
      <c r="B63" s="21"/>
      <c r="C63" s="22"/>
      <c r="D63" s="22"/>
      <c r="E63" s="24" t="str">
        <f aca="false">IF(C63="","",C63-D63)</f>
        <v/>
      </c>
    </row>
    <row r="64" customFormat="false" ht="15" hidden="false" customHeight="false" outlineLevel="0" collapsed="false">
      <c r="A64" s="30"/>
      <c r="B64" s="21"/>
      <c r="C64" s="22"/>
      <c r="D64" s="22"/>
      <c r="E64" s="24" t="str">
        <f aca="false">IF(C64="","",C64-D64)</f>
        <v/>
      </c>
    </row>
    <row r="65" customFormat="false" ht="15" hidden="false" customHeight="false" outlineLevel="0" collapsed="false">
      <c r="A65" s="30"/>
      <c r="B65" s="21"/>
      <c r="C65" s="22"/>
      <c r="D65" s="22"/>
      <c r="E65" s="24" t="str">
        <f aca="false">IF(C65="","",C65-D65)</f>
        <v/>
      </c>
    </row>
    <row r="66" customFormat="false" ht="15" hidden="false" customHeight="false" outlineLevel="0" collapsed="false">
      <c r="A66" s="30"/>
      <c r="B66" s="21"/>
      <c r="C66" s="22"/>
      <c r="D66" s="22"/>
      <c r="E66" s="24" t="str">
        <f aca="false">IF(C66="","",C66-D66)</f>
        <v/>
      </c>
    </row>
    <row r="67" customFormat="false" ht="15" hidden="false" customHeight="false" outlineLevel="0" collapsed="false">
      <c r="A67" s="30"/>
      <c r="B67" s="21"/>
      <c r="C67" s="22"/>
      <c r="D67" s="22"/>
      <c r="E67" s="24" t="str">
        <f aca="false">IF(C67="","",C67-D67)</f>
        <v/>
      </c>
    </row>
    <row r="68" customFormat="false" ht="15" hidden="false" customHeight="false" outlineLevel="0" collapsed="false">
      <c r="A68" s="30"/>
      <c r="B68" s="21"/>
      <c r="C68" s="22"/>
      <c r="D68" s="22"/>
      <c r="E68" s="24" t="str">
        <f aca="false">IF(C68="","",C68-D68)</f>
        <v/>
      </c>
    </row>
    <row r="69" customFormat="false" ht="15" hidden="false" customHeight="false" outlineLevel="0" collapsed="false">
      <c r="A69" s="30"/>
      <c r="B69" s="21"/>
      <c r="C69" s="22"/>
      <c r="D69" s="22"/>
      <c r="E69" s="24" t="str">
        <f aca="false">IF(C69="","",C69-D69)</f>
        <v/>
      </c>
    </row>
    <row r="70" customFormat="false" ht="15" hidden="false" customHeight="false" outlineLevel="0" collapsed="false">
      <c r="A70" s="30"/>
      <c r="B70" s="21"/>
      <c r="C70" s="22"/>
      <c r="D70" s="22"/>
      <c r="E70" s="24" t="str">
        <f aca="false">IF(C70="","",C70-D70)</f>
        <v/>
      </c>
    </row>
    <row r="71" customFormat="false" ht="15" hidden="false" customHeight="false" outlineLevel="0" collapsed="false">
      <c r="A71" s="30"/>
      <c r="B71" s="21"/>
      <c r="C71" s="22"/>
      <c r="D71" s="22"/>
      <c r="E71" s="24" t="str">
        <f aca="false">IF(C71="","",C71-D71)</f>
        <v/>
      </c>
    </row>
    <row r="72" customFormat="false" ht="15" hidden="false" customHeight="false" outlineLevel="0" collapsed="false">
      <c r="A72" s="30"/>
      <c r="B72" s="21"/>
      <c r="C72" s="22"/>
      <c r="D72" s="22"/>
      <c r="E72" s="24" t="str">
        <f aca="false">IF(C72="","",C72-D72)</f>
        <v/>
      </c>
    </row>
    <row r="73" customFormat="false" ht="15" hidden="false" customHeight="false" outlineLevel="0" collapsed="false">
      <c r="A73" s="30"/>
      <c r="B73" s="21"/>
      <c r="C73" s="22"/>
      <c r="D73" s="22"/>
      <c r="E73" s="24" t="str">
        <f aca="false">IF(C73="","",C73-D73)</f>
        <v/>
      </c>
    </row>
    <row r="74" customFormat="false" ht="15" hidden="false" customHeight="false" outlineLevel="0" collapsed="false">
      <c r="A74" s="30"/>
      <c r="B74" s="21"/>
      <c r="C74" s="22"/>
      <c r="D74" s="22"/>
      <c r="E74" s="24" t="str">
        <f aca="false">IF(C74="","",C74-D74)</f>
        <v/>
      </c>
    </row>
    <row r="75" customFormat="false" ht="15" hidden="false" customHeight="false" outlineLevel="0" collapsed="false">
      <c r="A75" s="30"/>
      <c r="B75" s="21"/>
      <c r="C75" s="22"/>
      <c r="D75" s="22"/>
      <c r="E75" s="24" t="str">
        <f aca="false">IF(C75="","",C75-D75)</f>
        <v/>
      </c>
    </row>
    <row r="76" customFormat="false" ht="15" hidden="false" customHeight="false" outlineLevel="0" collapsed="false">
      <c r="A76" s="30"/>
      <c r="B76" s="21"/>
      <c r="C76" s="22"/>
      <c r="D76" s="22"/>
      <c r="E76" s="24" t="str">
        <f aca="false">IF(C76="","",C76-D76)</f>
        <v/>
      </c>
    </row>
    <row r="77" customFormat="false" ht="15" hidden="false" customHeight="false" outlineLevel="0" collapsed="false">
      <c r="A77" s="30"/>
      <c r="B77" s="21"/>
      <c r="C77" s="22"/>
      <c r="D77" s="22"/>
      <c r="E77" s="24" t="str">
        <f aca="false">IF(C77="","",C77-D77)</f>
        <v/>
      </c>
    </row>
    <row r="78" customFormat="false" ht="15" hidden="false" customHeight="false" outlineLevel="0" collapsed="false">
      <c r="A78" s="30"/>
      <c r="B78" s="21"/>
      <c r="C78" s="22"/>
      <c r="D78" s="22"/>
      <c r="E78" s="24" t="str">
        <f aca="false">IF(C78="","",C78-D78)</f>
        <v/>
      </c>
    </row>
    <row r="79" customFormat="false" ht="15" hidden="false" customHeight="false" outlineLevel="0" collapsed="false">
      <c r="A79" s="30"/>
      <c r="B79" s="21"/>
      <c r="C79" s="22"/>
      <c r="D79" s="22"/>
      <c r="E79" s="24" t="str">
        <f aca="false">IF(C79="","",C79-D79)</f>
        <v/>
      </c>
    </row>
    <row r="80" customFormat="false" ht="15" hidden="false" customHeight="false" outlineLevel="0" collapsed="false">
      <c r="A80" s="30"/>
      <c r="B80" s="21"/>
      <c r="C80" s="22"/>
      <c r="D80" s="22"/>
      <c r="E80" s="24" t="str">
        <f aca="false">IF(C80="","",C80-D80)</f>
        <v/>
      </c>
    </row>
    <row r="81" customFormat="false" ht="15" hidden="false" customHeight="false" outlineLevel="0" collapsed="false">
      <c r="A81" s="30"/>
      <c r="B81" s="21"/>
      <c r="C81" s="22"/>
      <c r="D81" s="22"/>
      <c r="E81" s="24" t="str">
        <f aca="false">IF(C81="","",C81-D81)</f>
        <v/>
      </c>
    </row>
    <row r="82" customFormat="false" ht="15" hidden="false" customHeight="false" outlineLevel="0" collapsed="false">
      <c r="A82" s="30"/>
      <c r="B82" s="21"/>
      <c r="C82" s="22"/>
      <c r="D82" s="22"/>
      <c r="E82" s="24" t="str">
        <f aca="false">IF(C82="","",C82-D82)</f>
        <v/>
      </c>
    </row>
    <row r="83" customFormat="false" ht="15" hidden="false" customHeight="false" outlineLevel="0" collapsed="false">
      <c r="A83" s="30"/>
      <c r="B83" s="21"/>
      <c r="C83" s="22"/>
      <c r="D83" s="22"/>
      <c r="E83" s="24" t="str">
        <f aca="false">IF(C83="","",C83-D83)</f>
        <v/>
      </c>
    </row>
    <row r="84" customFormat="false" ht="15" hidden="false" customHeight="false" outlineLevel="0" collapsed="false">
      <c r="A84" s="30"/>
      <c r="B84" s="21"/>
      <c r="C84" s="22"/>
      <c r="D84" s="22"/>
      <c r="E84" s="24" t="str">
        <f aca="false">IF(C84="","",C84-D84)</f>
        <v/>
      </c>
    </row>
    <row r="85" customFormat="false" ht="15" hidden="false" customHeight="false" outlineLevel="0" collapsed="false">
      <c r="A85" s="30"/>
      <c r="B85" s="21"/>
      <c r="C85" s="22"/>
      <c r="D85" s="22"/>
      <c r="E85" s="24" t="str">
        <f aca="false">IF(C85="","",C85-D85)</f>
        <v/>
      </c>
    </row>
    <row r="86" customFormat="false" ht="15" hidden="false" customHeight="false" outlineLevel="0" collapsed="false">
      <c r="A86" s="30"/>
      <c r="B86" s="21"/>
      <c r="C86" s="22"/>
      <c r="D86" s="22"/>
      <c r="E86" s="24" t="str">
        <f aca="false">IF(C86="","",C86-D86)</f>
        <v/>
      </c>
    </row>
    <row r="87" customFormat="false" ht="15" hidden="false" customHeight="false" outlineLevel="0" collapsed="false">
      <c r="A87" s="30"/>
      <c r="B87" s="21"/>
      <c r="C87" s="22"/>
      <c r="D87" s="22"/>
      <c r="E87" s="24" t="str">
        <f aca="false">IF(C87="","",C87-D87)</f>
        <v/>
      </c>
    </row>
    <row r="88" customFormat="false" ht="15" hidden="false" customHeight="false" outlineLevel="0" collapsed="false">
      <c r="A88" s="30"/>
      <c r="B88" s="21"/>
      <c r="C88" s="22"/>
      <c r="D88" s="22"/>
      <c r="E88" s="24" t="str">
        <f aca="false">IF(C88="","",C88-D88)</f>
        <v/>
      </c>
    </row>
    <row r="89" customFormat="false" ht="15" hidden="false" customHeight="false" outlineLevel="0" collapsed="false">
      <c r="A89" s="30"/>
      <c r="B89" s="21"/>
      <c r="C89" s="22"/>
      <c r="D89" s="22"/>
      <c r="E89" s="24" t="str">
        <f aca="false">IF(C89="","",C89-D89)</f>
        <v/>
      </c>
    </row>
    <row r="90" customFormat="false" ht="15" hidden="false" customHeight="false" outlineLevel="0" collapsed="false">
      <c r="A90" s="30"/>
      <c r="B90" s="21"/>
      <c r="C90" s="22"/>
      <c r="D90" s="22"/>
      <c r="E90" s="24" t="str">
        <f aca="false">IF(C90="","",C90-D90)</f>
        <v/>
      </c>
    </row>
    <row r="91" customFormat="false" ht="15" hidden="false" customHeight="false" outlineLevel="0" collapsed="false">
      <c r="A91" s="30"/>
      <c r="B91" s="21"/>
      <c r="C91" s="22"/>
      <c r="D91" s="22"/>
      <c r="E91" s="24" t="str">
        <f aca="false">IF(C91="","",C91-D91)</f>
        <v/>
      </c>
    </row>
    <row r="92" customFormat="false" ht="15" hidden="false" customHeight="false" outlineLevel="0" collapsed="false">
      <c r="A92" s="30"/>
      <c r="B92" s="21"/>
      <c r="C92" s="22"/>
      <c r="D92" s="22"/>
      <c r="E92" s="24" t="str">
        <f aca="false">IF(C92="","",C92-D92)</f>
        <v/>
      </c>
    </row>
    <row r="93" customFormat="false" ht="15" hidden="false" customHeight="false" outlineLevel="0" collapsed="false">
      <c r="A93" s="30"/>
      <c r="B93" s="21"/>
      <c r="C93" s="22"/>
      <c r="D93" s="22"/>
      <c r="E93" s="24" t="str">
        <f aca="false">IF(C93="","",C93-D93)</f>
        <v/>
      </c>
    </row>
    <row r="94" customFormat="false" ht="15" hidden="false" customHeight="false" outlineLevel="0" collapsed="false">
      <c r="A94" s="30"/>
      <c r="B94" s="21"/>
      <c r="C94" s="22"/>
      <c r="D94" s="22"/>
      <c r="E94" s="24" t="str">
        <f aca="false">IF(C94="","",C94-D94)</f>
        <v/>
      </c>
    </row>
    <row r="95" customFormat="false" ht="15" hidden="false" customHeight="false" outlineLevel="0" collapsed="false">
      <c r="A95" s="30"/>
      <c r="B95" s="21"/>
      <c r="C95" s="22"/>
      <c r="D95" s="22"/>
      <c r="E95" s="24" t="str">
        <f aca="false">IF(C95="","",C95-D95)</f>
        <v/>
      </c>
    </row>
    <row r="96" customFormat="false" ht="15" hidden="false" customHeight="false" outlineLevel="0" collapsed="false">
      <c r="A96" s="30"/>
      <c r="B96" s="21"/>
      <c r="C96" s="22"/>
      <c r="D96" s="22"/>
      <c r="E96" s="24" t="str">
        <f aca="false">IF(C96="","",C96-D96)</f>
        <v/>
      </c>
    </row>
    <row r="97" customFormat="false" ht="15" hidden="false" customHeight="false" outlineLevel="0" collapsed="false">
      <c r="A97" s="30"/>
      <c r="B97" s="21"/>
      <c r="C97" s="22"/>
      <c r="D97" s="22"/>
      <c r="E97" s="24" t="str">
        <f aca="false">IF(C97="","",C97-D97)</f>
        <v/>
      </c>
    </row>
    <row r="98" customFormat="false" ht="15" hidden="false" customHeight="false" outlineLevel="0" collapsed="false">
      <c r="A98" s="30"/>
      <c r="B98" s="21"/>
      <c r="C98" s="22"/>
      <c r="D98" s="22"/>
      <c r="E98" s="24" t="str">
        <f aca="false">IF(C98="","",C98-D98)</f>
        <v/>
      </c>
    </row>
    <row r="99" customFormat="false" ht="15" hidden="false" customHeight="false" outlineLevel="0" collapsed="false">
      <c r="A99" s="30"/>
      <c r="B99" s="21"/>
      <c r="C99" s="22"/>
      <c r="D99" s="22"/>
      <c r="E99" s="24" t="str">
        <f aca="false">IF(C99="","",C99-D99)</f>
        <v/>
      </c>
    </row>
    <row r="100" customFormat="false" ht="15" hidden="false" customHeight="false" outlineLevel="0" collapsed="false">
      <c r="A100" s="30"/>
      <c r="B100" s="21"/>
      <c r="C100" s="22"/>
      <c r="D100" s="22"/>
      <c r="E100" s="24" t="str">
        <f aca="false">IF(C100="","",C100-D100)</f>
        <v/>
      </c>
    </row>
    <row r="101" customFormat="false" ht="15" hidden="false" customHeight="false" outlineLevel="0" collapsed="false">
      <c r="A101" s="30"/>
      <c r="B101" s="21"/>
      <c r="C101" s="22"/>
      <c r="D101" s="22"/>
      <c r="E101" s="24" t="str">
        <f aca="false">IF(C101="","",C101-D101)</f>
        <v/>
      </c>
    </row>
    <row r="102" customFormat="false" ht="15" hidden="false" customHeight="false" outlineLevel="0" collapsed="false">
      <c r="A102" s="30"/>
      <c r="B102" s="21"/>
      <c r="C102" s="22"/>
      <c r="D102" s="22"/>
      <c r="E102" s="24" t="str">
        <f aca="false">IF(C102="","",C102-D102)</f>
        <v/>
      </c>
    </row>
    <row r="103" customFormat="false" ht="15" hidden="false" customHeight="false" outlineLevel="0" collapsed="false">
      <c r="A103" s="30"/>
      <c r="B103" s="21"/>
      <c r="C103" s="22"/>
      <c r="D103" s="22"/>
      <c r="E103" s="24" t="str">
        <f aca="false">IF(C103="","",C103-D103)</f>
        <v/>
      </c>
    </row>
    <row r="104" customFormat="false" ht="15" hidden="false" customHeight="false" outlineLevel="0" collapsed="false">
      <c r="A104" s="30"/>
      <c r="B104" s="21"/>
      <c r="C104" s="22"/>
      <c r="D104" s="22"/>
      <c r="E104" s="24" t="str">
        <f aca="false">IF(C104="","",C104-D104)</f>
        <v/>
      </c>
    </row>
    <row r="105" customFormat="false" ht="15" hidden="false" customHeight="false" outlineLevel="0" collapsed="false">
      <c r="A105" s="30"/>
      <c r="B105" s="21"/>
      <c r="C105" s="22"/>
      <c r="D105" s="22"/>
      <c r="E105" s="24" t="str">
        <f aca="false">IF(C105="","",C105-D105)</f>
        <v/>
      </c>
    </row>
    <row r="106" customFormat="false" ht="15" hidden="false" customHeight="false" outlineLevel="0" collapsed="false">
      <c r="A106" s="30"/>
      <c r="B106" s="21"/>
      <c r="C106" s="22"/>
      <c r="D106" s="22"/>
      <c r="E106" s="24" t="str">
        <f aca="false">IF(C106="","",C106-D106)</f>
        <v/>
      </c>
    </row>
    <row r="107" customFormat="false" ht="15" hidden="false" customHeight="false" outlineLevel="0" collapsed="false">
      <c r="A107" s="30"/>
      <c r="B107" s="21"/>
      <c r="C107" s="22"/>
      <c r="D107" s="22"/>
      <c r="E107" s="24" t="str">
        <f aca="false">IF(C107="","",C107-D107)</f>
        <v/>
      </c>
    </row>
    <row r="108" customFormat="false" ht="15" hidden="false" customHeight="false" outlineLevel="0" collapsed="false">
      <c r="A108" s="30"/>
      <c r="B108" s="21"/>
      <c r="C108" s="22"/>
      <c r="D108" s="22"/>
      <c r="E108" s="24" t="str">
        <f aca="false">IF(C108="","",C108-D108)</f>
        <v/>
      </c>
    </row>
    <row r="109" customFormat="false" ht="15" hidden="false" customHeight="false" outlineLevel="0" collapsed="false">
      <c r="A109" s="30"/>
      <c r="B109" s="21"/>
      <c r="C109" s="22"/>
      <c r="D109" s="22"/>
      <c r="E109" s="24" t="str">
        <f aca="false">IF(C109="","",C109-D109)</f>
        <v/>
      </c>
    </row>
    <row r="110" customFormat="false" ht="15" hidden="false" customHeight="false" outlineLevel="0" collapsed="false">
      <c r="A110" s="30"/>
      <c r="B110" s="21"/>
      <c r="C110" s="22"/>
      <c r="D110" s="22"/>
      <c r="E110" s="24" t="str">
        <f aca="false">IF(C110="","",C110-D110)</f>
        <v/>
      </c>
    </row>
    <row r="111" customFormat="false" ht="15" hidden="false" customHeight="false" outlineLevel="0" collapsed="false">
      <c r="A111" s="30"/>
      <c r="B111" s="21"/>
      <c r="C111" s="22"/>
      <c r="D111" s="22"/>
      <c r="E111" s="24" t="str">
        <f aca="false">IF(C111="","",C111-D111)</f>
        <v/>
      </c>
    </row>
    <row r="112" customFormat="false" ht="15" hidden="false" customHeight="false" outlineLevel="0" collapsed="false">
      <c r="A112" s="30"/>
      <c r="B112" s="21"/>
      <c r="C112" s="22"/>
      <c r="D112" s="22"/>
      <c r="E112" s="24" t="str">
        <f aca="false">IF(C112="","",C112-D112)</f>
        <v/>
      </c>
    </row>
    <row r="113" customFormat="false" ht="15" hidden="false" customHeight="false" outlineLevel="0" collapsed="false">
      <c r="A113" s="30"/>
      <c r="B113" s="21"/>
      <c r="C113" s="22"/>
      <c r="D113" s="22"/>
      <c r="E113" s="24" t="str">
        <f aca="false">IF(C113="","",C113-D113)</f>
        <v/>
      </c>
    </row>
    <row r="114" customFormat="false" ht="15" hidden="false" customHeight="false" outlineLevel="0" collapsed="false">
      <c r="A114" s="30"/>
      <c r="B114" s="21"/>
      <c r="C114" s="22"/>
      <c r="D114" s="22"/>
      <c r="E114" s="24" t="str">
        <f aca="false">IF(C114="","",C114-D114)</f>
        <v/>
      </c>
    </row>
    <row r="115" customFormat="false" ht="15" hidden="false" customHeight="false" outlineLevel="0" collapsed="false">
      <c r="A115" s="30"/>
      <c r="B115" s="21"/>
      <c r="C115" s="22"/>
      <c r="D115" s="22"/>
      <c r="E115" s="24" t="str">
        <f aca="false">IF(C115="","",C115-D115)</f>
        <v/>
      </c>
    </row>
    <row r="116" customFormat="false" ht="15" hidden="false" customHeight="false" outlineLevel="0" collapsed="false">
      <c r="A116" s="30"/>
      <c r="B116" s="21"/>
      <c r="C116" s="22"/>
      <c r="D116" s="22"/>
      <c r="E116" s="24" t="str">
        <f aca="false">IF(C116="","",C116-D116)</f>
        <v/>
      </c>
    </row>
    <row r="117" customFormat="false" ht="15" hidden="false" customHeight="false" outlineLevel="0" collapsed="false">
      <c r="A117" s="30"/>
      <c r="B117" s="21"/>
      <c r="C117" s="22"/>
      <c r="D117" s="22"/>
      <c r="E117" s="24" t="str">
        <f aca="false">IF(C117="","",C117-D117)</f>
        <v/>
      </c>
    </row>
    <row r="118" customFormat="false" ht="15" hidden="false" customHeight="false" outlineLevel="0" collapsed="false">
      <c r="A118" s="30"/>
      <c r="B118" s="21"/>
      <c r="C118" s="22"/>
      <c r="D118" s="22"/>
      <c r="E118" s="24" t="str">
        <f aca="false">IF(C118="","",C118-D118)</f>
        <v/>
      </c>
    </row>
    <row r="119" customFormat="false" ht="15" hidden="false" customHeight="false" outlineLevel="0" collapsed="false">
      <c r="A119" s="30"/>
      <c r="B119" s="21"/>
      <c r="C119" s="22"/>
      <c r="D119" s="22"/>
      <c r="E119" s="24" t="str">
        <f aca="false">IF(C119="","",C119-D119)</f>
        <v/>
      </c>
    </row>
    <row r="120" customFormat="false" ht="15" hidden="false" customHeight="false" outlineLevel="0" collapsed="false">
      <c r="A120" s="30"/>
      <c r="B120" s="21"/>
      <c r="C120" s="22"/>
      <c r="D120" s="22"/>
      <c r="E120" s="24" t="str">
        <f aca="false">IF(C120="","",C120-D120)</f>
        <v/>
      </c>
    </row>
    <row r="121" customFormat="false" ht="15" hidden="false" customHeight="false" outlineLevel="0" collapsed="false">
      <c r="A121" s="30"/>
      <c r="B121" s="21"/>
      <c r="C121" s="22"/>
      <c r="D121" s="22"/>
      <c r="E121" s="24" t="str">
        <f aca="false">IF(C121="","",C121-D121)</f>
        <v/>
      </c>
    </row>
    <row r="122" customFormat="false" ht="15" hidden="false" customHeight="false" outlineLevel="0" collapsed="false">
      <c r="A122" s="30"/>
      <c r="B122" s="21"/>
      <c r="C122" s="22"/>
      <c r="D122" s="22"/>
      <c r="E122" s="24" t="str">
        <f aca="false">IF(C122="","",C122-D122)</f>
        <v/>
      </c>
    </row>
    <row r="123" customFormat="false" ht="15" hidden="false" customHeight="false" outlineLevel="0" collapsed="false">
      <c r="A123" s="30"/>
      <c r="B123" s="21"/>
      <c r="C123" s="22"/>
      <c r="D123" s="22"/>
      <c r="E123" s="24" t="str">
        <f aca="false">IF(C123="","",C123-D123)</f>
        <v/>
      </c>
    </row>
    <row r="124" customFormat="false" ht="15" hidden="false" customHeight="false" outlineLevel="0" collapsed="false">
      <c r="A124" s="30"/>
      <c r="B124" s="21"/>
      <c r="C124" s="22"/>
      <c r="D124" s="22"/>
      <c r="E124" s="24" t="str">
        <f aca="false">IF(C124="","",C124-D124)</f>
        <v/>
      </c>
    </row>
    <row r="125" customFormat="false" ht="15" hidden="false" customHeight="false" outlineLevel="0" collapsed="false">
      <c r="A125" s="30"/>
      <c r="B125" s="21"/>
      <c r="C125" s="22"/>
      <c r="D125" s="22"/>
      <c r="E125" s="24" t="str">
        <f aca="false">IF(C125="","",C125-D125)</f>
        <v/>
      </c>
    </row>
    <row r="126" customFormat="false" ht="15" hidden="false" customHeight="false" outlineLevel="0" collapsed="false">
      <c r="A126" s="30"/>
      <c r="B126" s="21"/>
      <c r="C126" s="22"/>
      <c r="D126" s="22"/>
      <c r="E126" s="24" t="str">
        <f aca="false">IF(C126="","",C126-D126)</f>
        <v/>
      </c>
    </row>
    <row r="127" customFormat="false" ht="15" hidden="false" customHeight="false" outlineLevel="0" collapsed="false">
      <c r="A127" s="30"/>
      <c r="B127" s="21"/>
      <c r="C127" s="22"/>
      <c r="D127" s="22"/>
      <c r="E127" s="24" t="str">
        <f aca="false">IF(C127="","",C127-D127)</f>
        <v/>
      </c>
    </row>
    <row r="128" customFormat="false" ht="15" hidden="false" customHeight="false" outlineLevel="0" collapsed="false">
      <c r="A128" s="30"/>
      <c r="B128" s="21"/>
      <c r="C128" s="22"/>
      <c r="D128" s="22"/>
      <c r="E128" s="24" t="str">
        <f aca="false">IF(C128="","",C128-D128)</f>
        <v/>
      </c>
    </row>
    <row r="129" customFormat="false" ht="15" hidden="false" customHeight="false" outlineLevel="0" collapsed="false">
      <c r="A129" s="30"/>
      <c r="B129" s="21"/>
      <c r="C129" s="22"/>
      <c r="D129" s="22"/>
      <c r="E129" s="24" t="str">
        <f aca="false">IF(C129="","",C129-D129)</f>
        <v/>
      </c>
    </row>
    <row r="130" customFormat="false" ht="15" hidden="false" customHeight="false" outlineLevel="0" collapsed="false">
      <c r="A130" s="30"/>
      <c r="B130" s="21"/>
      <c r="C130" s="22"/>
      <c r="D130" s="22"/>
      <c r="E130" s="24" t="str">
        <f aca="false">IF(C130="","",C130-D130)</f>
        <v/>
      </c>
    </row>
    <row r="131" customFormat="false" ht="15" hidden="false" customHeight="false" outlineLevel="0" collapsed="false">
      <c r="A131" s="30"/>
      <c r="B131" s="21"/>
      <c r="C131" s="22"/>
      <c r="D131" s="22"/>
      <c r="E131" s="24" t="str">
        <f aca="false">IF(C131="","",C131-D131)</f>
        <v/>
      </c>
    </row>
    <row r="132" customFormat="false" ht="15" hidden="false" customHeight="false" outlineLevel="0" collapsed="false">
      <c r="A132" s="30"/>
      <c r="B132" s="21"/>
      <c r="C132" s="22"/>
      <c r="D132" s="22"/>
      <c r="E132" s="24" t="str">
        <f aca="false">IF(C132="","",C132-D132)</f>
        <v/>
      </c>
    </row>
    <row r="133" customFormat="false" ht="15" hidden="false" customHeight="false" outlineLevel="0" collapsed="false">
      <c r="A133" s="30"/>
      <c r="B133" s="21"/>
      <c r="C133" s="22"/>
      <c r="D133" s="22"/>
      <c r="E133" s="24" t="str">
        <f aca="false">IF(C133="","",C133-D133)</f>
        <v/>
      </c>
    </row>
    <row r="134" customFormat="false" ht="15" hidden="false" customHeight="false" outlineLevel="0" collapsed="false">
      <c r="A134" s="30"/>
      <c r="B134" s="21"/>
      <c r="C134" s="22"/>
      <c r="D134" s="22"/>
      <c r="E134" s="24" t="str">
        <f aca="false">IF(C134="","",C134-D134)</f>
        <v/>
      </c>
    </row>
    <row r="135" customFormat="false" ht="15" hidden="false" customHeight="false" outlineLevel="0" collapsed="false">
      <c r="A135" s="30"/>
      <c r="B135" s="21"/>
      <c r="C135" s="22"/>
      <c r="D135" s="22"/>
      <c r="E135" s="24" t="str">
        <f aca="false">IF(C135="","",C135-D135)</f>
        <v/>
      </c>
    </row>
    <row r="136" customFormat="false" ht="15" hidden="false" customHeight="false" outlineLevel="0" collapsed="false">
      <c r="A136" s="30"/>
      <c r="B136" s="21"/>
      <c r="C136" s="22"/>
      <c r="D136" s="22"/>
      <c r="E136" s="24" t="str">
        <f aca="false">IF(C136="","",C136-D136)</f>
        <v/>
      </c>
    </row>
    <row r="137" customFormat="false" ht="15" hidden="false" customHeight="false" outlineLevel="0" collapsed="false">
      <c r="A137" s="30"/>
      <c r="B137" s="21"/>
      <c r="C137" s="22"/>
      <c r="D137" s="22"/>
      <c r="E137" s="24" t="str">
        <f aca="false">IF(C137="","",C137-D137)</f>
        <v/>
      </c>
    </row>
    <row r="138" customFormat="false" ht="15" hidden="false" customHeight="false" outlineLevel="0" collapsed="false">
      <c r="A138" s="30"/>
      <c r="B138" s="21"/>
      <c r="C138" s="22"/>
      <c r="D138" s="22"/>
      <c r="E138" s="24" t="str">
        <f aca="false">IF(C138="","",C138-D138)</f>
        <v/>
      </c>
    </row>
    <row r="139" customFormat="false" ht="15" hidden="false" customHeight="false" outlineLevel="0" collapsed="false">
      <c r="A139" s="30"/>
      <c r="B139" s="21"/>
      <c r="C139" s="22"/>
      <c r="D139" s="22"/>
      <c r="E139" s="24" t="str">
        <f aca="false">IF(C139="","",C139-D139)</f>
        <v/>
      </c>
    </row>
    <row r="140" customFormat="false" ht="15" hidden="false" customHeight="false" outlineLevel="0" collapsed="false">
      <c r="A140" s="30"/>
      <c r="B140" s="21"/>
      <c r="C140" s="22"/>
      <c r="D140" s="22"/>
      <c r="E140" s="24" t="str">
        <f aca="false">IF(C140="","",C140-D140)</f>
        <v/>
      </c>
    </row>
    <row r="141" customFormat="false" ht="15" hidden="false" customHeight="false" outlineLevel="0" collapsed="false">
      <c r="A141" s="30"/>
      <c r="B141" s="21"/>
      <c r="C141" s="22"/>
      <c r="D141" s="22"/>
      <c r="E141" s="24" t="str">
        <f aca="false">IF(C141="","",C141-D141)</f>
        <v/>
      </c>
    </row>
    <row r="142" customFormat="false" ht="15" hidden="false" customHeight="false" outlineLevel="0" collapsed="false">
      <c r="A142" s="30"/>
      <c r="B142" s="21"/>
      <c r="C142" s="22"/>
      <c r="D142" s="22"/>
      <c r="E142" s="24" t="str">
        <f aca="false">IF(C142="","",C142-D142)</f>
        <v/>
      </c>
    </row>
    <row r="143" customFormat="false" ht="15" hidden="false" customHeight="false" outlineLevel="0" collapsed="false">
      <c r="A143" s="30"/>
      <c r="B143" s="21"/>
      <c r="C143" s="22"/>
      <c r="D143" s="22"/>
      <c r="E143" s="24" t="str">
        <f aca="false">IF(C143="","",C143-D143)</f>
        <v/>
      </c>
    </row>
    <row r="144" customFormat="false" ht="15" hidden="false" customHeight="false" outlineLevel="0" collapsed="false">
      <c r="A144" s="30"/>
      <c r="B144" s="21"/>
      <c r="C144" s="22"/>
      <c r="D144" s="22"/>
      <c r="E144" s="24" t="str">
        <f aca="false">IF(C144="","",C144-D144)</f>
        <v/>
      </c>
    </row>
    <row r="145" customFormat="false" ht="15" hidden="false" customHeight="false" outlineLevel="0" collapsed="false">
      <c r="A145" s="30"/>
      <c r="B145" s="21"/>
      <c r="C145" s="22"/>
      <c r="D145" s="22"/>
      <c r="E145" s="24" t="str">
        <f aca="false">IF(C145="","",C145-D145)</f>
        <v/>
      </c>
    </row>
    <row r="146" customFormat="false" ht="15" hidden="false" customHeight="false" outlineLevel="0" collapsed="false">
      <c r="A146" s="30"/>
      <c r="B146" s="21"/>
      <c r="C146" s="22"/>
      <c r="D146" s="22"/>
      <c r="E146" s="24" t="str">
        <f aca="false">IF(C146="","",C146-D146)</f>
        <v/>
      </c>
    </row>
    <row r="147" customFormat="false" ht="15" hidden="false" customHeight="false" outlineLevel="0" collapsed="false">
      <c r="A147" s="30"/>
      <c r="B147" s="21"/>
      <c r="C147" s="22"/>
      <c r="D147" s="22"/>
      <c r="E147" s="24" t="str">
        <f aca="false">IF(C147="","",C147-D147)</f>
        <v/>
      </c>
    </row>
    <row r="148" customFormat="false" ht="15" hidden="false" customHeight="false" outlineLevel="0" collapsed="false">
      <c r="A148" s="30"/>
      <c r="B148" s="21"/>
      <c r="C148" s="22"/>
      <c r="D148" s="22"/>
      <c r="E148" s="24" t="str">
        <f aca="false">IF(C148="","",C148-D148)</f>
        <v/>
      </c>
    </row>
    <row r="149" customFormat="false" ht="15" hidden="false" customHeight="false" outlineLevel="0" collapsed="false">
      <c r="A149" s="30"/>
      <c r="B149" s="21"/>
      <c r="C149" s="22"/>
      <c r="D149" s="22"/>
      <c r="E149" s="24" t="str">
        <f aca="false">IF(C149="","",C149-D149)</f>
        <v/>
      </c>
    </row>
    <row r="150" customFormat="false" ht="15" hidden="false" customHeight="false" outlineLevel="0" collapsed="false">
      <c r="A150" s="30"/>
      <c r="B150" s="21"/>
      <c r="C150" s="22"/>
      <c r="D150" s="22"/>
      <c r="E150" s="24" t="str">
        <f aca="false">IF(C150="","",C150-D150)</f>
        <v/>
      </c>
    </row>
    <row r="151" customFormat="false" ht="15" hidden="false" customHeight="false" outlineLevel="0" collapsed="false">
      <c r="A151" s="30"/>
      <c r="B151" s="21"/>
      <c r="C151" s="22"/>
      <c r="D151" s="22"/>
      <c r="E151" s="24" t="str">
        <f aca="false">IF(C151="","",C151-D151)</f>
        <v/>
      </c>
    </row>
    <row r="152" customFormat="false" ht="15" hidden="false" customHeight="false" outlineLevel="0" collapsed="false">
      <c r="A152" s="30"/>
      <c r="B152" s="21"/>
      <c r="C152" s="22"/>
      <c r="D152" s="22"/>
      <c r="E152" s="24" t="str">
        <f aca="false">IF(C152="","",C152-D152)</f>
        <v/>
      </c>
    </row>
    <row r="153" customFormat="false" ht="15" hidden="false" customHeight="false" outlineLevel="0" collapsed="false">
      <c r="A153" s="30"/>
      <c r="B153" s="21"/>
      <c r="C153" s="22"/>
      <c r="D153" s="22"/>
      <c r="E153" s="24" t="str">
        <f aca="false">IF(C153="","",C153-D153)</f>
        <v/>
      </c>
    </row>
    <row r="154" customFormat="false" ht="15" hidden="false" customHeight="false" outlineLevel="0" collapsed="false">
      <c r="A154" s="30"/>
      <c r="B154" s="21"/>
      <c r="C154" s="22"/>
      <c r="D154" s="22"/>
      <c r="E154" s="24" t="str">
        <f aca="false">IF(C154="","",C154-D154)</f>
        <v/>
      </c>
    </row>
    <row r="155" customFormat="false" ht="15" hidden="false" customHeight="false" outlineLevel="0" collapsed="false">
      <c r="A155" s="30"/>
      <c r="B155" s="21"/>
      <c r="C155" s="22"/>
      <c r="D155" s="22"/>
      <c r="E155" s="24" t="str">
        <f aca="false">IF(C155="","",C155-D155)</f>
        <v/>
      </c>
    </row>
    <row r="156" customFormat="false" ht="15" hidden="false" customHeight="false" outlineLevel="0" collapsed="false">
      <c r="A156" s="30"/>
      <c r="B156" s="21"/>
      <c r="C156" s="22"/>
      <c r="D156" s="22"/>
      <c r="E156" s="24" t="str">
        <f aca="false">IF(C156="","",C156-D156)</f>
        <v/>
      </c>
    </row>
    <row r="157" customFormat="false" ht="15" hidden="false" customHeight="false" outlineLevel="0" collapsed="false">
      <c r="A157" s="30"/>
      <c r="B157" s="21"/>
      <c r="C157" s="22"/>
      <c r="D157" s="22"/>
      <c r="E157" s="24" t="str">
        <f aca="false">IF(C157="","",C157-D157)</f>
        <v/>
      </c>
    </row>
    <row r="158" customFormat="false" ht="15" hidden="false" customHeight="false" outlineLevel="0" collapsed="false">
      <c r="A158" s="30"/>
      <c r="B158" s="21"/>
      <c r="C158" s="22"/>
      <c r="D158" s="22"/>
      <c r="E158" s="24" t="str">
        <f aca="false">IF(C158="","",C158-D158)</f>
        <v/>
      </c>
    </row>
    <row r="159" customFormat="false" ht="15" hidden="false" customHeight="false" outlineLevel="0" collapsed="false">
      <c r="A159" s="30"/>
      <c r="B159" s="21"/>
      <c r="C159" s="22"/>
      <c r="D159" s="22"/>
      <c r="E159" s="24" t="str">
        <f aca="false">IF(C159="","",C159-D159)</f>
        <v/>
      </c>
    </row>
    <row r="160" customFormat="false" ht="15" hidden="false" customHeight="false" outlineLevel="0" collapsed="false">
      <c r="A160" s="30"/>
      <c r="B160" s="21"/>
      <c r="C160" s="22"/>
      <c r="D160" s="22"/>
      <c r="E160" s="24" t="str">
        <f aca="false">IF(C160="","",C160-D160)</f>
        <v/>
      </c>
    </row>
    <row r="161" customFormat="false" ht="15" hidden="false" customHeight="false" outlineLevel="0" collapsed="false">
      <c r="A161" s="30"/>
      <c r="B161" s="21"/>
      <c r="C161" s="22"/>
      <c r="D161" s="22"/>
      <c r="E161" s="24" t="str">
        <f aca="false">IF(C161="","",C161-D161)</f>
        <v/>
      </c>
    </row>
    <row r="162" customFormat="false" ht="15" hidden="false" customHeight="false" outlineLevel="0" collapsed="false">
      <c r="A162" s="30"/>
      <c r="B162" s="21"/>
      <c r="C162" s="22"/>
      <c r="D162" s="22"/>
      <c r="E162" s="24" t="str">
        <f aca="false">IF(C162="","",C162-D162)</f>
        <v/>
      </c>
    </row>
    <row r="163" customFormat="false" ht="15" hidden="false" customHeight="false" outlineLevel="0" collapsed="false">
      <c r="A163" s="30"/>
      <c r="B163" s="21"/>
      <c r="C163" s="22"/>
      <c r="D163" s="22"/>
      <c r="E163" s="24" t="str">
        <f aca="false">IF(C163="","",C163-D163)</f>
        <v/>
      </c>
    </row>
    <row r="164" customFormat="false" ht="15" hidden="false" customHeight="false" outlineLevel="0" collapsed="false">
      <c r="A164" s="30"/>
      <c r="B164" s="21"/>
      <c r="C164" s="22"/>
      <c r="D164" s="22"/>
      <c r="E164" s="24" t="str">
        <f aca="false">IF(C164="","",C164-D164)</f>
        <v/>
      </c>
    </row>
    <row r="165" customFormat="false" ht="15" hidden="false" customHeight="false" outlineLevel="0" collapsed="false">
      <c r="A165" s="30"/>
      <c r="B165" s="21"/>
      <c r="C165" s="22"/>
      <c r="D165" s="22"/>
      <c r="E165" s="24" t="str">
        <f aca="false">IF(C165="","",C165-D165)</f>
        <v/>
      </c>
    </row>
    <row r="166" customFormat="false" ht="15" hidden="false" customHeight="false" outlineLevel="0" collapsed="false">
      <c r="A166" s="30"/>
      <c r="B166" s="21"/>
      <c r="C166" s="22"/>
      <c r="D166" s="22"/>
      <c r="E166" s="24" t="str">
        <f aca="false">IF(C166="","",C166-D166)</f>
        <v/>
      </c>
    </row>
    <row r="167" customFormat="false" ht="15" hidden="false" customHeight="false" outlineLevel="0" collapsed="false">
      <c r="A167" s="30"/>
      <c r="B167" s="21"/>
      <c r="C167" s="22"/>
      <c r="D167" s="22"/>
      <c r="E167" s="24" t="str">
        <f aca="false">IF(C167="","",C167-D167)</f>
        <v/>
      </c>
    </row>
    <row r="168" customFormat="false" ht="15" hidden="false" customHeight="false" outlineLevel="0" collapsed="false">
      <c r="A168" s="30"/>
      <c r="B168" s="21"/>
      <c r="C168" s="22"/>
      <c r="D168" s="22"/>
      <c r="E168" s="24" t="str">
        <f aca="false">IF(C168="","",C168-D168)</f>
        <v/>
      </c>
    </row>
    <row r="169" customFormat="false" ht="15" hidden="false" customHeight="false" outlineLevel="0" collapsed="false">
      <c r="A169" s="30"/>
      <c r="B169" s="21"/>
      <c r="C169" s="22"/>
      <c r="D169" s="22"/>
      <c r="E169" s="24" t="str">
        <f aca="false">IF(C169="","",C169-D169)</f>
        <v/>
      </c>
    </row>
    <row r="170" customFormat="false" ht="15" hidden="false" customHeight="false" outlineLevel="0" collapsed="false">
      <c r="A170" s="30"/>
      <c r="B170" s="21"/>
      <c r="C170" s="22"/>
      <c r="D170" s="22"/>
      <c r="E170" s="24" t="str">
        <f aca="false">IF(C170="","",C170-D170)</f>
        <v/>
      </c>
    </row>
    <row r="171" customFormat="false" ht="15" hidden="false" customHeight="false" outlineLevel="0" collapsed="false">
      <c r="A171" s="30"/>
      <c r="B171" s="21"/>
      <c r="C171" s="22"/>
      <c r="D171" s="22"/>
      <c r="E171" s="24" t="str">
        <f aca="false">IF(C171="","",C171-D171)</f>
        <v/>
      </c>
    </row>
    <row r="172" customFormat="false" ht="15" hidden="false" customHeight="false" outlineLevel="0" collapsed="false">
      <c r="A172" s="30"/>
      <c r="B172" s="21"/>
      <c r="C172" s="22"/>
      <c r="D172" s="22"/>
      <c r="E172" s="24" t="str">
        <f aca="false">IF(C172="","",C172-D172)</f>
        <v/>
      </c>
    </row>
    <row r="173" customFormat="false" ht="15" hidden="false" customHeight="false" outlineLevel="0" collapsed="false">
      <c r="A173" s="30"/>
      <c r="B173" s="21"/>
      <c r="C173" s="22"/>
      <c r="D173" s="22"/>
      <c r="E173" s="24" t="str">
        <f aca="false">IF(C173="","",C173-D173)</f>
        <v/>
      </c>
    </row>
    <row r="174" customFormat="false" ht="15" hidden="false" customHeight="false" outlineLevel="0" collapsed="false">
      <c r="A174" s="30"/>
      <c r="B174" s="21"/>
      <c r="C174" s="22"/>
      <c r="D174" s="22"/>
      <c r="E174" s="24" t="str">
        <f aca="false">IF(C174="","",C174-D174)</f>
        <v/>
      </c>
    </row>
    <row r="175" customFormat="false" ht="15" hidden="false" customHeight="false" outlineLevel="0" collapsed="false">
      <c r="A175" s="30"/>
      <c r="B175" s="21"/>
      <c r="C175" s="22"/>
      <c r="D175" s="22"/>
      <c r="E175" s="24" t="str">
        <f aca="false">IF(C175="","",C175-D175)</f>
        <v/>
      </c>
    </row>
    <row r="176" customFormat="false" ht="15" hidden="false" customHeight="false" outlineLevel="0" collapsed="false">
      <c r="A176" s="30"/>
      <c r="B176" s="21"/>
      <c r="C176" s="22"/>
      <c r="D176" s="22"/>
      <c r="E176" s="24" t="str">
        <f aca="false">IF(C176="","",C176-D176)</f>
        <v/>
      </c>
    </row>
    <row r="177" customFormat="false" ht="15" hidden="false" customHeight="false" outlineLevel="0" collapsed="false">
      <c r="A177" s="30"/>
      <c r="B177" s="21"/>
      <c r="C177" s="22"/>
      <c r="D177" s="22"/>
      <c r="E177" s="24" t="str">
        <f aca="false">IF(C177="","",C177-D177)</f>
        <v/>
      </c>
    </row>
    <row r="178" customFormat="false" ht="15" hidden="false" customHeight="false" outlineLevel="0" collapsed="false">
      <c r="A178" s="30"/>
      <c r="B178" s="21"/>
      <c r="C178" s="22"/>
      <c r="D178" s="22"/>
      <c r="E178" s="24" t="str">
        <f aca="false">IF(C178="","",C178-D178)</f>
        <v/>
      </c>
    </row>
    <row r="179" customFormat="false" ht="15" hidden="false" customHeight="false" outlineLevel="0" collapsed="false">
      <c r="A179" s="30"/>
      <c r="B179" s="21"/>
      <c r="C179" s="22"/>
      <c r="D179" s="22"/>
      <c r="E179" s="24" t="str">
        <f aca="false">IF(C179="","",C179-D179)</f>
        <v/>
      </c>
    </row>
    <row r="180" customFormat="false" ht="15" hidden="false" customHeight="false" outlineLevel="0" collapsed="false">
      <c r="A180" s="30"/>
      <c r="B180" s="21"/>
      <c r="C180" s="22"/>
      <c r="D180" s="22"/>
      <c r="E180" s="24" t="str">
        <f aca="false">IF(C180="","",C180-D180)</f>
        <v/>
      </c>
    </row>
    <row r="181" customFormat="false" ht="15" hidden="false" customHeight="false" outlineLevel="0" collapsed="false">
      <c r="A181" s="30"/>
      <c r="B181" s="21"/>
      <c r="C181" s="22"/>
      <c r="D181" s="22"/>
      <c r="E181" s="24" t="str">
        <f aca="false">IF(C181="","",C181-D181)</f>
        <v/>
      </c>
    </row>
    <row r="182" customFormat="false" ht="15" hidden="false" customHeight="false" outlineLevel="0" collapsed="false">
      <c r="A182" s="30"/>
      <c r="B182" s="21"/>
      <c r="C182" s="22"/>
      <c r="D182" s="22"/>
      <c r="E182" s="24" t="str">
        <f aca="false">IF(C182="","",C182-D182)</f>
        <v/>
      </c>
    </row>
    <row r="183" customFormat="false" ht="15" hidden="false" customHeight="false" outlineLevel="0" collapsed="false">
      <c r="A183" s="30"/>
      <c r="B183" s="21"/>
      <c r="C183" s="22"/>
      <c r="D183" s="22"/>
      <c r="E183" s="24" t="str">
        <f aca="false">IF(C183="","",C183-D183)</f>
        <v/>
      </c>
    </row>
    <row r="184" customFormat="false" ht="15" hidden="false" customHeight="false" outlineLevel="0" collapsed="false">
      <c r="A184" s="30"/>
      <c r="B184" s="21"/>
      <c r="C184" s="22"/>
      <c r="D184" s="22"/>
      <c r="E184" s="24" t="str">
        <f aca="false">IF(C184="","",C184-D184)</f>
        <v/>
      </c>
    </row>
    <row r="185" customFormat="false" ht="15" hidden="false" customHeight="false" outlineLevel="0" collapsed="false">
      <c r="A185" s="30"/>
      <c r="B185" s="21"/>
      <c r="C185" s="22"/>
      <c r="D185" s="22"/>
      <c r="E185" s="24" t="str">
        <f aca="false">IF(C185="","",C185-D185)</f>
        <v/>
      </c>
    </row>
    <row r="186" customFormat="false" ht="15" hidden="false" customHeight="false" outlineLevel="0" collapsed="false">
      <c r="A186" s="30"/>
      <c r="B186" s="21"/>
      <c r="C186" s="22"/>
      <c r="D186" s="22"/>
      <c r="E186" s="24" t="str">
        <f aca="false">IF(C186="","",C186-D186)</f>
        <v/>
      </c>
    </row>
    <row r="187" customFormat="false" ht="15" hidden="false" customHeight="false" outlineLevel="0" collapsed="false">
      <c r="A187" s="30"/>
      <c r="B187" s="21"/>
      <c r="C187" s="22"/>
      <c r="D187" s="22"/>
      <c r="E187" s="24" t="str">
        <f aca="false">IF(C187="","",C187-D187)</f>
        <v/>
      </c>
    </row>
    <row r="188" customFormat="false" ht="15" hidden="false" customHeight="false" outlineLevel="0" collapsed="false">
      <c r="A188" s="30"/>
      <c r="B188" s="21"/>
      <c r="C188" s="22"/>
      <c r="D188" s="22"/>
      <c r="E188" s="24" t="str">
        <f aca="false">IF(C188="","",C188-D188)</f>
        <v/>
      </c>
    </row>
    <row r="189" customFormat="false" ht="15" hidden="false" customHeight="false" outlineLevel="0" collapsed="false">
      <c r="A189" s="30"/>
      <c r="B189" s="21"/>
      <c r="C189" s="22"/>
      <c r="D189" s="22"/>
      <c r="E189" s="24" t="str">
        <f aca="false">IF(C189="","",C189-D189)</f>
        <v/>
      </c>
    </row>
    <row r="190" customFormat="false" ht="15" hidden="false" customHeight="false" outlineLevel="0" collapsed="false">
      <c r="A190" s="30"/>
      <c r="B190" s="21"/>
      <c r="C190" s="22"/>
      <c r="D190" s="22"/>
      <c r="E190" s="24" t="str">
        <f aca="false">IF(C190="","",C190-D190)</f>
        <v/>
      </c>
    </row>
    <row r="191" customFormat="false" ht="15" hidden="false" customHeight="false" outlineLevel="0" collapsed="false">
      <c r="A191" s="30"/>
      <c r="B191" s="21"/>
      <c r="C191" s="22"/>
      <c r="D191" s="22"/>
      <c r="E191" s="24" t="str">
        <f aca="false">IF(C191="","",C191-D191)</f>
        <v/>
      </c>
    </row>
    <row r="192" customFormat="false" ht="15" hidden="false" customHeight="false" outlineLevel="0" collapsed="false">
      <c r="A192" s="30"/>
      <c r="B192" s="21"/>
      <c r="C192" s="22"/>
      <c r="D192" s="22"/>
      <c r="E192" s="24" t="str">
        <f aca="false">IF(C192="","",C192-D192)</f>
        <v/>
      </c>
    </row>
    <row r="193" customFormat="false" ht="15" hidden="false" customHeight="false" outlineLevel="0" collapsed="false">
      <c r="A193" s="30"/>
      <c r="B193" s="21"/>
      <c r="C193" s="22"/>
      <c r="D193" s="22"/>
      <c r="E193" s="24" t="str">
        <f aca="false">IF(C193="","",C193-D193)</f>
        <v/>
      </c>
    </row>
    <row r="194" customFormat="false" ht="15" hidden="false" customHeight="false" outlineLevel="0" collapsed="false">
      <c r="A194" s="30"/>
      <c r="B194" s="21"/>
      <c r="C194" s="22"/>
      <c r="D194" s="22"/>
      <c r="E194" s="24" t="str">
        <f aca="false">IF(C194="","",C194-D194)</f>
        <v/>
      </c>
    </row>
    <row r="195" customFormat="false" ht="15" hidden="false" customHeight="false" outlineLevel="0" collapsed="false">
      <c r="A195" s="30"/>
      <c r="B195" s="21"/>
      <c r="C195" s="22"/>
      <c r="D195" s="22"/>
      <c r="E195" s="24" t="str">
        <f aca="false">IF(C195="","",C195-D195)</f>
        <v/>
      </c>
    </row>
    <row r="196" customFormat="false" ht="15" hidden="false" customHeight="false" outlineLevel="0" collapsed="false">
      <c r="A196" s="30"/>
      <c r="B196" s="21"/>
      <c r="C196" s="22"/>
      <c r="D196" s="22"/>
      <c r="E196" s="24" t="str">
        <f aca="false">IF(C196="","",C196-D196)</f>
        <v/>
      </c>
    </row>
    <row r="197" customFormat="false" ht="15" hidden="false" customHeight="false" outlineLevel="0" collapsed="false">
      <c r="A197" s="30"/>
      <c r="B197" s="21"/>
      <c r="C197" s="22"/>
      <c r="D197" s="22"/>
      <c r="E197" s="24" t="str">
        <f aca="false">IF(C197="","",C197-D197)</f>
        <v/>
      </c>
    </row>
    <row r="198" customFormat="false" ht="15" hidden="false" customHeight="false" outlineLevel="0" collapsed="false">
      <c r="A198" s="30"/>
      <c r="B198" s="21"/>
      <c r="C198" s="22"/>
      <c r="D198" s="22"/>
      <c r="E198" s="24" t="str">
        <f aca="false">IF(C198="","",C198-D198)</f>
        <v/>
      </c>
    </row>
    <row r="199" customFormat="false" ht="15" hidden="false" customHeight="false" outlineLevel="0" collapsed="false">
      <c r="A199" s="30"/>
      <c r="B199" s="21"/>
      <c r="C199" s="22"/>
      <c r="D199" s="22"/>
      <c r="E199" s="24" t="str">
        <f aca="false">IF(C199="","",C199-D199)</f>
        <v/>
      </c>
    </row>
    <row r="200" customFormat="false" ht="15" hidden="false" customHeight="false" outlineLevel="0" collapsed="false">
      <c r="A200" s="30"/>
      <c r="B200" s="21"/>
      <c r="C200" s="22"/>
      <c r="D200" s="22"/>
      <c r="E200" s="24" t="str">
        <f aca="false">IF(C200="","",C200-D200)</f>
        <v/>
      </c>
    </row>
    <row r="201" customFormat="false" ht="15" hidden="false" customHeight="false" outlineLevel="0" collapsed="false">
      <c r="A201" s="30"/>
      <c r="B201" s="21"/>
      <c r="C201" s="22"/>
      <c r="D201" s="22"/>
      <c r="E201" s="24" t="str">
        <f aca="false">IF(C201="","",C201-D201)</f>
        <v/>
      </c>
    </row>
    <row r="202" customFormat="false" ht="15" hidden="false" customHeight="false" outlineLevel="0" collapsed="false">
      <c r="A202" s="30"/>
      <c r="B202" s="21"/>
      <c r="C202" s="22"/>
      <c r="D202" s="22"/>
      <c r="E202" s="24" t="str">
        <f aca="false">IF(C202="","",C202-D202)</f>
        <v/>
      </c>
    </row>
    <row r="203" customFormat="false" ht="15" hidden="false" customHeight="false" outlineLevel="0" collapsed="false">
      <c r="A203" s="30"/>
      <c r="B203" s="21"/>
      <c r="C203" s="22"/>
      <c r="D203" s="22"/>
      <c r="E203" s="24" t="str">
        <f aca="false">IF(C203="","",C203-D203)</f>
        <v/>
      </c>
    </row>
    <row r="204" customFormat="false" ht="15" hidden="false" customHeight="false" outlineLevel="0" collapsed="false">
      <c r="A204" s="30"/>
      <c r="B204" s="21"/>
      <c r="C204" s="22"/>
      <c r="D204" s="22"/>
      <c r="E204" s="24" t="str">
        <f aca="false">IF(C204="","",C204-D204)</f>
        <v/>
      </c>
    </row>
  </sheetData>
  <sheetProtection sheet="true" password="ee36" formatCells="false" formatColumns="false" formatRows="false" insertRows="false" selectLockedCells="true" selectUnlockedCells="true"/>
  <mergeCells count="2">
    <mergeCell ref="A2:E2"/>
    <mergeCell ref="A3:E3"/>
  </mergeCells>
  <dataValidations count="2">
    <dataValidation allowBlank="true" error="Ingresa un número igual o mayor a 0." errorStyle="stop" errorTitle="Valor inválido" operator="greaterThanOrEqual" showDropDown="false" showErrorMessage="true" showInputMessage="false" sqref="C5:D204" type="decimal">
      <formula1>0</formula1>
      <formula2>0</formula2>
    </dataValidation>
    <dataValidation allowBlank="true" errorStyle="stop" operator="between" showDropDown="false" showErrorMessage="false" showInputMessage="false" sqref="B5:B204" type="list">
      <formula1>Deudas!$A$5:$A$14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7" min="6" style="0" width="16"/>
    <col collapsed="false" customWidth="true" hidden="false" outlineLevel="0" max="8" min="8" style="0" width="3"/>
  </cols>
  <sheetData>
    <row r="2" customFormat="false" ht="25.5" hidden="false" customHeight="true" outlineLevel="0" collapsed="false">
      <c r="B2" s="8" t="s">
        <v>81</v>
      </c>
      <c r="C2" s="8"/>
      <c r="D2" s="8"/>
      <c r="E2" s="8"/>
      <c r="F2" s="8"/>
      <c r="G2" s="8"/>
    </row>
    <row r="3" customFormat="false" ht="15" hidden="false" customHeight="false" outlineLevel="0" collapsed="false">
      <c r="B3" s="7" t="str">
        <f aca="false">" Moneda: " &amp; Configuracion!$C$8</f>
        <v> Moneda: Local</v>
      </c>
      <c r="C3" s="7"/>
      <c r="D3" s="7"/>
      <c r="E3" s="7"/>
      <c r="F3" s="7"/>
      <c r="G3" s="7"/>
    </row>
    <row r="5" customFormat="false" ht="19.5" hidden="false" customHeight="true" outlineLevel="0" collapsed="false">
      <c r="B5" s="31" t="s">
        <v>82</v>
      </c>
      <c r="C5" s="31"/>
      <c r="D5" s="31"/>
      <c r="E5" s="31"/>
      <c r="F5" s="31"/>
      <c r="G5" s="31"/>
    </row>
    <row r="6" customFormat="false" ht="27.75" hidden="false" customHeight="true" outlineLevel="0" collapsed="false">
      <c r="B6" s="10" t="s">
        <v>57</v>
      </c>
      <c r="C6" s="10" t="s">
        <v>59</v>
      </c>
      <c r="D6" s="10" t="s">
        <v>65</v>
      </c>
      <c r="E6" s="10" t="s">
        <v>66</v>
      </c>
      <c r="F6" s="10" t="s">
        <v>83</v>
      </c>
      <c r="G6" s="10" t="s">
        <v>84</v>
      </c>
      <c r="H6" s="10" t="s">
        <v>85</v>
      </c>
    </row>
    <row r="7" customFormat="false" ht="15" hidden="false" customHeight="false" outlineLevel="0" collapsed="false">
      <c r="B7" s="32" t="str">
        <f aca="false">Deudas!$A$5</f>
        <v>Tarjeta Visa</v>
      </c>
      <c r="C7" s="33" t="n">
        <f aca="false">Deudas!$C$5*Configuracion!$C$11</f>
        <v>3000</v>
      </c>
      <c r="D7" s="33" t="n">
        <f aca="false">IF(Deudas!$A$5="",0,Deudas!$I$5*Configuracion!$C$11)</f>
        <v>2383</v>
      </c>
      <c r="E7" s="34" t="n">
        <f aca="false">Deudas!$J$5</f>
        <v>0.205666666666667</v>
      </c>
      <c r="F7" s="34" t="n">
        <f aca="false">Deudas!$D$5</f>
        <v>0.28</v>
      </c>
      <c r="G7" s="35" t="n">
        <f aca="false">IF(Deudas!$A$5="","",IF(Deudas!$I$5&lt;=0,"Pagada",RANK(Deudas!$I$5,Deudas!$I$5:$I$14,1)))</f>
        <v>3</v>
      </c>
      <c r="H7" s="35" t="n">
        <f aca="false">IF(Deudas!$A$5="","",IF(Deudas!$I$5&lt;=0,"Pagada",RANK(Deudas!$D$5,Deudas!$D$5:$D$14,0)))</f>
        <v>2</v>
      </c>
    </row>
    <row r="8" customFormat="false" ht="15" hidden="false" customHeight="false" outlineLevel="0" collapsed="false">
      <c r="B8" s="32" t="str">
        <f aca="false">Deudas!$A$6</f>
        <v>Tarjeta Mastercard</v>
      </c>
      <c r="C8" s="33" t="n">
        <f aca="false">Deudas!$C$6*Configuracion!$C$11</f>
        <v>1500</v>
      </c>
      <c r="D8" s="33" t="n">
        <f aca="false">IF(Deudas!$A$6="",0,Deudas!$I$6*Configuracion!$C$11)</f>
        <v>1246</v>
      </c>
      <c r="E8" s="34" t="n">
        <f aca="false">Deudas!$J$6</f>
        <v>0.169333333333333</v>
      </c>
      <c r="F8" s="34" t="n">
        <f aca="false">Deudas!$D$6</f>
        <v>0.32</v>
      </c>
      <c r="G8" s="35" t="n">
        <f aca="false">IF(Deudas!$A$6="","",IF(Deudas!$I$6&lt;=0,"Pagada",RANK(Deudas!$I$6,Deudas!$I$5:$I$14,1)))</f>
        <v>1</v>
      </c>
      <c r="H8" s="35" t="n">
        <f aca="false">IF(Deudas!$A$6="","",IF(Deudas!$I$6&lt;=0,"Pagada",RANK(Deudas!$D$6,Deudas!$D$5:$D$14,0)))</f>
        <v>1</v>
      </c>
    </row>
    <row r="9" customFormat="false" ht="15" hidden="false" customHeight="false" outlineLevel="0" collapsed="false">
      <c r="B9" s="32" t="str">
        <f aca="false">Deudas!$A$7</f>
        <v>Préstamo auto</v>
      </c>
      <c r="C9" s="33" t="n">
        <f aca="false">Deudas!$C$7*Configuracion!$C$11</f>
        <v>8000</v>
      </c>
      <c r="D9" s="33" t="n">
        <f aca="false">IF(Deudas!$A$7="",0,Deudas!$I$7*Configuracion!$C$11)</f>
        <v>7263</v>
      </c>
      <c r="E9" s="34" t="n">
        <f aca="false">Deudas!$J$7</f>
        <v>0.092125</v>
      </c>
      <c r="F9" s="34" t="n">
        <f aca="false">Deudas!$D$7</f>
        <v>0.12</v>
      </c>
      <c r="G9" s="35" t="n">
        <f aca="false">IF(Deudas!$A$7="","",IF(Deudas!$I$7&lt;=0,"Pagada",RANK(Deudas!$I$7,Deudas!$I$5:$I$14,1)))</f>
        <v>4</v>
      </c>
      <c r="H9" s="35" t="n">
        <f aca="false">IF(Deudas!$A$7="","",IF(Deudas!$I$7&lt;=0,"Pagada",RANK(Deudas!$D$7,Deudas!$D$5:$D$14,0)))</f>
        <v>4</v>
      </c>
    </row>
    <row r="10" customFormat="false" ht="15" hidden="false" customHeight="false" outlineLevel="0" collapsed="false">
      <c r="B10" s="32" t="str">
        <f aca="false">Deudas!$A$8</f>
        <v>Préstamo personal</v>
      </c>
      <c r="C10" s="33" t="n">
        <f aca="false">Deudas!$C$8*Configuracion!$C$11</f>
        <v>2000</v>
      </c>
      <c r="D10" s="33" t="n">
        <f aca="false">IF(Deudas!$A$8="",0,Deudas!$I$8*Configuracion!$C$11)</f>
        <v>1628</v>
      </c>
      <c r="E10" s="34" t="n">
        <f aca="false">Deudas!$J$8</f>
        <v>0.186</v>
      </c>
      <c r="F10" s="34" t="n">
        <f aca="false">Deudas!$D$8</f>
        <v>0.18</v>
      </c>
      <c r="G10" s="35" t="n">
        <f aca="false">IF(Deudas!$A$8="","",IF(Deudas!$I$8&lt;=0,"Pagada",RANK(Deudas!$I$8,Deudas!$I$5:$I$14,1)))</f>
        <v>2</v>
      </c>
      <c r="H10" s="35" t="n">
        <f aca="false">IF(Deudas!$A$8="","",IF(Deudas!$I$8&lt;=0,"Pagada",RANK(Deudas!$D$8,Deudas!$D$5:$D$14,0)))</f>
        <v>3</v>
      </c>
    </row>
    <row r="11" customFormat="false" ht="15" hidden="false" customHeight="false" outlineLevel="0" collapsed="false">
      <c r="B11" s="32" t="str">
        <f aca="false">Deudas!$A$9</f>
        <v>Hipoteca</v>
      </c>
      <c r="C11" s="33" t="n">
        <f aca="false">Deudas!$C$9*Configuracion!$C$11</f>
        <v>45000</v>
      </c>
      <c r="D11" s="33" t="n">
        <f aca="false">IF(Deudas!$A$9="",0,Deudas!$I$9*Configuracion!$C$11)</f>
        <v>44526</v>
      </c>
      <c r="E11" s="34" t="n">
        <f aca="false">Deudas!$J$9</f>
        <v>0.0105333333333333</v>
      </c>
      <c r="F11" s="34" t="n">
        <f aca="false">Deudas!$D$9</f>
        <v>0.08</v>
      </c>
      <c r="G11" s="35" t="n">
        <f aca="false">IF(Deudas!$A$9="","",IF(Deudas!$I$9&lt;=0,"Pagada",RANK(Deudas!$I$9,Deudas!$I$5:$I$14,1)))</f>
        <v>5</v>
      </c>
      <c r="H11" s="35" t="n">
        <f aca="false">IF(Deudas!$A$9="","",IF(Deudas!$I$9&lt;=0,"Pagada",RANK(Deudas!$D$9,Deudas!$D$5:$D$14,0)))</f>
        <v>5</v>
      </c>
    </row>
    <row r="12" customFormat="false" ht="15" hidden="false" customHeight="false" outlineLevel="0" collapsed="false">
      <c r="B12" s="32" t="n">
        <f aca="false">Deudas!$A$10</f>
        <v>0</v>
      </c>
      <c r="C12" s="33" t="n">
        <f aca="false">Deudas!$C$10*Configuracion!$C$11</f>
        <v>0</v>
      </c>
      <c r="D12" s="33" t="n">
        <f aca="false">IF(Deudas!$A$10="",0,Deudas!$I$10*Configuracion!$C$11)</f>
        <v>0</v>
      </c>
      <c r="E12" s="34" t="n">
        <f aca="false">Deudas!$J$10</f>
        <v>0</v>
      </c>
      <c r="F12" s="34" t="n">
        <f aca="false">Deudas!$D$10</f>
        <v>0</v>
      </c>
      <c r="G12" s="35" t="str">
        <f aca="false">IF(Deudas!$A$10="","",IF(Deudas!$I$10&lt;=0,"Pagada",RANK(Deudas!$I$10,Deudas!$I$5:$I$14,1)))</f>
        <v/>
      </c>
      <c r="H12" s="35" t="str">
        <f aca="false">IF(Deudas!$A$10="","",IF(Deudas!$I$10&lt;=0,"Pagada",RANK(Deudas!$D$10,Deudas!$D$5:$D$14,0)))</f>
        <v/>
      </c>
    </row>
    <row r="13" customFormat="false" ht="15" hidden="false" customHeight="false" outlineLevel="0" collapsed="false">
      <c r="B13" s="32" t="n">
        <f aca="false">Deudas!$A$11</f>
        <v>0</v>
      </c>
      <c r="C13" s="33" t="n">
        <f aca="false">Deudas!$C$11*Configuracion!$C$11</f>
        <v>0</v>
      </c>
      <c r="D13" s="33" t="n">
        <f aca="false">IF(Deudas!$A$11="",0,Deudas!$I$11*Configuracion!$C$11)</f>
        <v>0</v>
      </c>
      <c r="E13" s="34" t="n">
        <f aca="false">Deudas!$J$11</f>
        <v>0</v>
      </c>
      <c r="F13" s="34" t="n">
        <f aca="false">Deudas!$D$11</f>
        <v>0</v>
      </c>
      <c r="G13" s="35" t="str">
        <f aca="false">IF(Deudas!$A$11="","",IF(Deudas!$I$11&lt;=0,"Pagada",RANK(Deudas!$I$11,Deudas!$I$5:$I$14,1)))</f>
        <v/>
      </c>
      <c r="H13" s="35" t="str">
        <f aca="false">IF(Deudas!$A$11="","",IF(Deudas!$I$11&lt;=0,"Pagada",RANK(Deudas!$D$11,Deudas!$D$5:$D$14,0)))</f>
        <v/>
      </c>
    </row>
    <row r="14" customFormat="false" ht="15" hidden="false" customHeight="false" outlineLevel="0" collapsed="false">
      <c r="B14" s="32" t="n">
        <f aca="false">Deudas!$A$12</f>
        <v>0</v>
      </c>
      <c r="C14" s="33" t="n">
        <f aca="false">Deudas!$C$12*Configuracion!$C$11</f>
        <v>0</v>
      </c>
      <c r="D14" s="33" t="n">
        <f aca="false">IF(Deudas!$A$12="",0,Deudas!$I$12*Configuracion!$C$11)</f>
        <v>0</v>
      </c>
      <c r="E14" s="34" t="n">
        <f aca="false">Deudas!$J$12</f>
        <v>0</v>
      </c>
      <c r="F14" s="34" t="n">
        <f aca="false">Deudas!$D$12</f>
        <v>0</v>
      </c>
      <c r="G14" s="35" t="str">
        <f aca="false">IF(Deudas!$A$12="","",IF(Deudas!$I$12&lt;=0,"Pagada",RANK(Deudas!$I$12,Deudas!$I$5:$I$14,1)))</f>
        <v/>
      </c>
      <c r="H14" s="35" t="str">
        <f aca="false">IF(Deudas!$A$12="","",IF(Deudas!$I$12&lt;=0,"Pagada",RANK(Deudas!$D$12,Deudas!$D$5:$D$14,0)))</f>
        <v/>
      </c>
    </row>
    <row r="15" customFormat="false" ht="15" hidden="false" customHeight="false" outlineLevel="0" collapsed="false">
      <c r="B15" s="32" t="n">
        <f aca="false">Deudas!$A$13</f>
        <v>0</v>
      </c>
      <c r="C15" s="33" t="n">
        <f aca="false">Deudas!$C$13*Configuracion!$C$11</f>
        <v>0</v>
      </c>
      <c r="D15" s="33" t="n">
        <f aca="false">IF(Deudas!$A$13="",0,Deudas!$I$13*Configuracion!$C$11)</f>
        <v>0</v>
      </c>
      <c r="E15" s="34" t="n">
        <f aca="false">Deudas!$J$13</f>
        <v>0</v>
      </c>
      <c r="F15" s="34" t="n">
        <f aca="false">Deudas!$D$13</f>
        <v>0</v>
      </c>
      <c r="G15" s="35" t="str">
        <f aca="false">IF(Deudas!$A$13="","",IF(Deudas!$I$13&lt;=0,"Pagada",RANK(Deudas!$I$13,Deudas!$I$5:$I$14,1)))</f>
        <v/>
      </c>
      <c r="H15" s="35" t="str">
        <f aca="false">IF(Deudas!$A$13="","",IF(Deudas!$I$13&lt;=0,"Pagada",RANK(Deudas!$D$13,Deudas!$D$5:$D$14,0)))</f>
        <v/>
      </c>
    </row>
    <row r="16" customFormat="false" ht="15" hidden="false" customHeight="false" outlineLevel="0" collapsed="false">
      <c r="B16" s="32" t="n">
        <f aca="false">Deudas!$A$14</f>
        <v>0</v>
      </c>
      <c r="C16" s="33" t="n">
        <f aca="false">Deudas!$C$14*Configuracion!$C$11</f>
        <v>0</v>
      </c>
      <c r="D16" s="33" t="n">
        <f aca="false">IF(Deudas!$A$14="",0,Deudas!$I$14*Configuracion!$C$11)</f>
        <v>0</v>
      </c>
      <c r="E16" s="34" t="n">
        <f aca="false">Deudas!$J$14</f>
        <v>0</v>
      </c>
      <c r="F16" s="34" t="n">
        <f aca="false">Deudas!$D$14</f>
        <v>0</v>
      </c>
      <c r="G16" s="35" t="str">
        <f aca="false">IF(Deudas!$A$14="","",IF(Deudas!$I$14&lt;=0,"Pagada",RANK(Deudas!$I$14,Deudas!$I$5:$I$14,1)))</f>
        <v/>
      </c>
      <c r="H16" s="35" t="str">
        <f aca="false">IF(Deudas!$A$14="","",IF(Deudas!$I$14&lt;=0,"Pagada",RANK(Deudas!$D$14,Deudas!$D$5:$D$14,0)))</f>
        <v/>
      </c>
    </row>
    <row r="17" customFormat="false" ht="15" hidden="false" customHeight="false" outlineLevel="0" collapsed="false">
      <c r="B17" s="26" t="s">
        <v>74</v>
      </c>
      <c r="C17" s="28" t="n">
        <f aca="false">SUM(C7:C16)</f>
        <v>59500</v>
      </c>
      <c r="D17" s="28" t="n">
        <f aca="false">SUM(D7:D16)</f>
        <v>57046</v>
      </c>
      <c r="E17" s="29" t="n">
        <f aca="false">IF(C17=0,0,1-D17/C17)</f>
        <v>0.0412436974789916</v>
      </c>
      <c r="F17" s="27"/>
      <c r="G17" s="27"/>
      <c r="H17" s="27"/>
    </row>
    <row r="20" customFormat="false" ht="19.5" hidden="false" customHeight="true" outlineLevel="0" collapsed="false">
      <c r="B20" s="31" t="s">
        <v>86</v>
      </c>
      <c r="C20" s="31"/>
      <c r="D20" s="31"/>
    </row>
    <row r="21" customFormat="false" ht="18" hidden="false" customHeight="true" outlineLevel="0" collapsed="false">
      <c r="B21" s="10" t="s">
        <v>87</v>
      </c>
      <c r="C21" s="10" t="s">
        <v>88</v>
      </c>
    </row>
    <row r="22" customFormat="false" ht="15" hidden="false" customHeight="false" outlineLevel="0" collapsed="false">
      <c r="B22" s="32" t="s">
        <v>89</v>
      </c>
      <c r="C22" s="33" t="n">
        <f aca="false">(SUM(Deudas!$C$5:$C$14)-SUMIFS(Pagos!$E$5:$E$204,Pagos!$A$5:$A$204,"&lt;="&amp;EOMONTH(DATE(Configuracion!$C$9,1,1),0)))*Configuracion!$C$11</f>
        <v>58714</v>
      </c>
    </row>
    <row r="23" customFormat="false" ht="15" hidden="false" customHeight="false" outlineLevel="0" collapsed="false">
      <c r="B23" s="32" t="s">
        <v>90</v>
      </c>
      <c r="C23" s="33" t="n">
        <f aca="false">(SUM(Deudas!$C$5:$C$14)-SUMIFS(Pagos!$E$5:$E$204,Pagos!$A$5:$A$204,"&lt;="&amp;EOMONTH(DATE(Configuracion!$C$9,2,1),0)))*Configuracion!$C$11</f>
        <v>57911</v>
      </c>
    </row>
    <row r="24" customFormat="false" ht="15" hidden="false" customHeight="false" outlineLevel="0" collapsed="false">
      <c r="B24" s="32" t="s">
        <v>91</v>
      </c>
      <c r="C24" s="33" t="n">
        <f aca="false">(SUM(Deudas!$C$5:$C$14)-SUMIFS(Pagos!$E$5:$E$204,Pagos!$A$5:$A$204,"&lt;="&amp;EOMONTH(DATE(Configuracion!$C$9,3,1),0)))*Configuracion!$C$11</f>
        <v>57046</v>
      </c>
    </row>
    <row r="25" customFormat="false" ht="15" hidden="false" customHeight="false" outlineLevel="0" collapsed="false">
      <c r="B25" s="32" t="s">
        <v>92</v>
      </c>
      <c r="C25" s="33" t="n">
        <f aca="false">(SUM(Deudas!$C$5:$C$14)-SUMIFS(Pagos!$E$5:$E$204,Pagos!$A$5:$A$204,"&lt;="&amp;EOMONTH(DATE(Configuracion!$C$9,4,1),0)))*Configuracion!$C$11</f>
        <v>57046</v>
      </c>
    </row>
    <row r="26" customFormat="false" ht="15" hidden="false" customHeight="false" outlineLevel="0" collapsed="false">
      <c r="B26" s="32" t="s">
        <v>93</v>
      </c>
      <c r="C26" s="33" t="n">
        <f aca="false">(SUM(Deudas!$C$5:$C$14)-SUMIFS(Pagos!$E$5:$E$204,Pagos!$A$5:$A$204,"&lt;="&amp;EOMONTH(DATE(Configuracion!$C$9,5,1),0)))*Configuracion!$C$11</f>
        <v>57046</v>
      </c>
    </row>
    <row r="27" customFormat="false" ht="15" hidden="false" customHeight="false" outlineLevel="0" collapsed="false">
      <c r="B27" s="32" t="s">
        <v>94</v>
      </c>
      <c r="C27" s="33" t="n">
        <f aca="false">(SUM(Deudas!$C$5:$C$14)-SUMIFS(Pagos!$E$5:$E$204,Pagos!$A$5:$A$204,"&lt;="&amp;EOMONTH(DATE(Configuracion!$C$9,6,1),0)))*Configuracion!$C$11</f>
        <v>57046</v>
      </c>
    </row>
    <row r="28" customFormat="false" ht="15" hidden="false" customHeight="false" outlineLevel="0" collapsed="false">
      <c r="B28" s="32" t="s">
        <v>95</v>
      </c>
      <c r="C28" s="33" t="n">
        <f aca="false">(SUM(Deudas!$C$5:$C$14)-SUMIFS(Pagos!$E$5:$E$204,Pagos!$A$5:$A$204,"&lt;="&amp;EOMONTH(DATE(Configuracion!$C$9,7,1),0)))*Configuracion!$C$11</f>
        <v>57046</v>
      </c>
    </row>
    <row r="29" customFormat="false" ht="15" hidden="false" customHeight="false" outlineLevel="0" collapsed="false">
      <c r="B29" s="32" t="s">
        <v>96</v>
      </c>
      <c r="C29" s="33" t="n">
        <f aca="false">(SUM(Deudas!$C$5:$C$14)-SUMIFS(Pagos!$E$5:$E$204,Pagos!$A$5:$A$204,"&lt;="&amp;EOMONTH(DATE(Configuracion!$C$9,8,1),0)))*Configuracion!$C$11</f>
        <v>57046</v>
      </c>
    </row>
    <row r="30" customFormat="false" ht="15" hidden="false" customHeight="false" outlineLevel="0" collapsed="false">
      <c r="B30" s="32" t="s">
        <v>97</v>
      </c>
      <c r="C30" s="33" t="n">
        <f aca="false">(SUM(Deudas!$C$5:$C$14)-SUMIFS(Pagos!$E$5:$E$204,Pagos!$A$5:$A$204,"&lt;="&amp;EOMONTH(DATE(Configuracion!$C$9,9,1),0)))*Configuracion!$C$11</f>
        <v>57046</v>
      </c>
    </row>
    <row r="31" customFormat="false" ht="15" hidden="false" customHeight="false" outlineLevel="0" collapsed="false">
      <c r="B31" s="32" t="s">
        <v>98</v>
      </c>
      <c r="C31" s="33" t="n">
        <f aca="false">(SUM(Deudas!$C$5:$C$14)-SUMIFS(Pagos!$E$5:$E$204,Pagos!$A$5:$A$204,"&lt;="&amp;EOMONTH(DATE(Configuracion!$C$9,10,1),0)))*Configuracion!$C$11</f>
        <v>57046</v>
      </c>
    </row>
    <row r="32" customFormat="false" ht="15" hidden="false" customHeight="false" outlineLevel="0" collapsed="false">
      <c r="B32" s="32" t="s">
        <v>99</v>
      </c>
      <c r="C32" s="33" t="n">
        <f aca="false">(SUM(Deudas!$C$5:$C$14)-SUMIFS(Pagos!$E$5:$E$204,Pagos!$A$5:$A$204,"&lt;="&amp;EOMONTH(DATE(Configuracion!$C$9,11,1),0)))*Configuracion!$C$11</f>
        <v>57046</v>
      </c>
    </row>
    <row r="33" customFormat="false" ht="15" hidden="false" customHeight="false" outlineLevel="0" collapsed="false">
      <c r="B33" s="32" t="s">
        <v>100</v>
      </c>
      <c r="C33" s="33" t="n">
        <f aca="false">(SUM(Deudas!$C$5:$C$14)-SUMIFS(Pagos!$E$5:$E$204,Pagos!$A$5:$A$204,"&lt;="&amp;EOMONTH(DATE(Configuracion!$C$9,12,1),0)))*Configuracion!$C$11</f>
        <v>57046</v>
      </c>
    </row>
  </sheetData>
  <sheetProtection sheet="true" password="ee36" formatCells="false" formatColumns="false" formatRows="false" insertRows="false" selectLockedCells="true" selectUnlockedCells="true"/>
  <mergeCells count="4">
    <mergeCell ref="B2:G2"/>
    <mergeCell ref="B3:G3"/>
    <mergeCell ref="B5:G5"/>
    <mergeCell ref="B20:D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  <col collapsed="false" customWidth="true" hidden="false" outlineLevel="0" max="9" min="9" style="0" width="3"/>
  </cols>
  <sheetData>
    <row r="2" customFormat="false" ht="27.75" hidden="false" customHeight="true" outlineLevel="0" collapsed="false">
      <c r="B2" s="8" t="s">
        <v>101</v>
      </c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B3" s="7" t="str">
        <f aca="false">" Moneda de visualización: " &amp; Configuracion!$C$8</f>
        <v> Moneda de visualización: Local</v>
      </c>
      <c r="C3" s="7"/>
      <c r="D3" s="7"/>
      <c r="E3" s="7"/>
      <c r="F3" s="7"/>
      <c r="G3" s="7"/>
      <c r="H3" s="7"/>
    </row>
    <row r="5" customFormat="false" ht="18" hidden="false" customHeight="true" outlineLevel="0" collapsed="false">
      <c r="B5" s="36" t="s">
        <v>102</v>
      </c>
      <c r="C5" s="36"/>
      <c r="D5" s="37" t="s">
        <v>103</v>
      </c>
      <c r="E5" s="37"/>
      <c r="F5" s="38" t="s">
        <v>104</v>
      </c>
      <c r="G5" s="38"/>
      <c r="H5" s="39" t="s">
        <v>105</v>
      </c>
      <c r="I5" s="39"/>
    </row>
    <row r="6" customFormat="false" ht="21.75" hidden="false" customHeight="true" outlineLevel="0" collapsed="false">
      <c r="B6" s="40" t="str">
        <f aca="false">Configuracion!$C$12&amp;" "&amp;TEXT(Resumen!C17,"#,##0.00")</f>
        <v>S/ 59,500.00</v>
      </c>
      <c r="C6" s="40"/>
      <c r="D6" s="41" t="str">
        <f aca="false">Configuracion!$C$12&amp;" "&amp;TEXT(Resumen!D17,"#,##0.00")</f>
        <v>S/ 57,046.00</v>
      </c>
      <c r="E6" s="41"/>
      <c r="F6" s="42" t="str">
        <f aca="false">Configuracion!$C$12&amp;" "&amp;TEXT(Resumen!C17-Resumen!D17,"#,##0.00")</f>
        <v>S/ 2,454.00</v>
      </c>
      <c r="G6" s="42"/>
      <c r="H6" s="43" t="str">
        <f aca="false">TEXT(Resumen!E17,"0.0%")</f>
        <v>4.1%</v>
      </c>
      <c r="I6" s="43"/>
    </row>
    <row r="7" customFormat="false" ht="21.75" hidden="false" customHeight="true" outlineLevel="0" collapsed="false">
      <c r="B7" s="40"/>
      <c r="C7" s="40"/>
      <c r="D7" s="41"/>
      <c r="E7" s="41"/>
      <c r="F7" s="42"/>
      <c r="G7" s="42"/>
      <c r="H7" s="43"/>
      <c r="I7" s="43"/>
    </row>
  </sheetData>
  <sheetProtection sheet="true" password="ee36" formatCells="false" formatColumns="false" formatRows="false" insertRows="false" selectLockedCells="true" selectUnlockedCells="true"/>
  <mergeCells count="10">
    <mergeCell ref="B2:H2"/>
    <mergeCell ref="B3:H3"/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2026-09-18T05:18:55Z</dcterms:created>
  <dc:creator>openpyxl</dc:creator>
  <dc:description/>
  <dc:language>en-US</dc:language>
  <cp:lastModifiedBy/>
  <dcterms:modified xsi:type="dcterms:W3CDTF">2026-09-18T05:18:56Z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