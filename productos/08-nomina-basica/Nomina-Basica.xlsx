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Portada" sheetId="1" state="visible" r:id="rId3"/>
    <sheet name="Instrucciones" sheetId="2" state="visible" r:id="rId4"/>
    <sheet name="Configuracion" sheetId="3" state="visible" r:id="rId5"/>
    <sheet name="Empleados" sheetId="4" state="visible" r:id="rId6"/>
    <sheet name="Bonificaciones" sheetId="5" state="visible" r:id="rId7"/>
    <sheet name="Resumen" sheetId="6" state="visible" r:id="rId8"/>
    <sheet name="Dashboard" sheetId="7" state="visible" r:id="rId9"/>
  </sheets>
  <definedNames>
    <definedName function="false" hidden="false" name="FactorConversion" vbProcedure="false">Configuracion!$C$14</definedName>
    <definedName function="false" hidden="false" name="MonedaVisualizacion" vbProcedure="false">Configuracion!$C$8</definedName>
    <definedName function="false" hidden="false" name="TipoCambio" vbProcedure="false">Configuracion!$C$7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<sst xmlns="http://schemas.openxmlformats.org/spreadsheetml/2006/main" count="134" uniqueCount="130">
  <si>
    <t xml:space="preserve">LÍNEA DE PRODUCTOS DIGITALES · PLANTILLAS EXCEL</t>
  </si>
  <si>
    <t xml:space="preserve">NÓMINA BÁSICA</t>
  </si>
  <si>
    <t xml:space="preserve">Organiza la planilla de tu equipo: sueldos, bonificaciones y descuentos, mes a mes, y obtén el sueldo neto de cada colaborador sin fórmulas complicadas — con panel de control, gráficos automáticos y selector de moneda (local / USD).</t>
  </si>
  <si>
    <t xml:space="preserve">QUÉ INCLUYE ESTA PLANTILLA</t>
  </si>
  <si>
    <t xml:space="preserve">✔  Dashboard con indicadores clave (KPIs) y gráficos automáticos</t>
  </si>
  <si>
    <t xml:space="preserve">✔  Fórmulas automáticas: nada que calcular a mano</t>
  </si>
  <si>
    <t xml:space="preserve">✔  Cálculo automático de descuentos (seguro social e impuesto) y sueldo neto</t>
  </si>
  <si>
    <t xml:space="preserve">✔  Gráficos: pastel (composición de planilla), barras y evolución mensual</t>
  </si>
  <si>
    <t xml:space="preserve">✔  Resumen dinámico tipo tabla dinámica por colaborador y por mes</t>
  </si>
  <si>
    <t xml:space="preserve">✔  Listas desplegables y validación de datos en cada registro</t>
  </si>
  <si>
    <t xml:space="preserve">✔  Selector de moneda: local o USD, con tipo de cambio editable</t>
  </si>
  <si>
    <t xml:space="preserve">✔  Hoja de instrucciones paso a paso</t>
  </si>
  <si>
    <t xml:space="preserve">✔  Celdas y fórmulas protegidas: solo editas donde debes</t>
  </si>
  <si>
    <t xml:space="preserve">✔  Diseño profesional y ejemplos precargados</t>
  </si>
  <si>
    <t xml:space="preserve">Producto digital · Precio orientativo: $12.99 USD  |  Licencia de uso comercial</t>
  </si>
  <si>
    <t xml:space="preserve">© Tu Marca de Plantillas · www.tumarca.com</t>
  </si>
  <si>
    <t xml:space="preserve">CÓMO USAR ESTA PLANTILLA</t>
  </si>
  <si>
    <t xml:space="preserve">1. Configuración</t>
  </si>
  <si>
    <t xml:space="preserve">Define el símbolo de tu moneda local, el tipo de cambio, las tasas de descuento (seguro social e impuesto/retención), el mes que quieres analizar y si la plantilla se muestra en moneda LOCAL o USD.</t>
  </si>
  <si>
    <t xml:space="preserve">2. Empleados</t>
  </si>
  <si>
    <t xml:space="preserve">En 'Empleados' registra a cada colaborador: nombre, cargo, fecha de ingreso y sueldo base mensual. Hay espacio para hasta 10 colaboradores.</t>
  </si>
  <si>
    <t xml:space="preserve">3. Bonificaciones</t>
  </si>
  <si>
    <t xml:space="preserve">En 'Bonificaciones' registra, mes a mes, cualquier bono, comisión u horas extra de cada colaborador (además de su sueldo base).</t>
  </si>
  <si>
    <t xml:space="preserve">4. Resumen automático</t>
  </si>
  <si>
    <t xml:space="preserve">La hoja 'Resumen' calcula, para el mes elegido, el total de ingresos, los descuentos y el sueldo neto de cada colaborador, y totaliza la planilla mes a mes durante el año.</t>
  </si>
  <si>
    <t xml:space="preserve">5. Dashboard</t>
  </si>
  <si>
    <t xml:space="preserve">La hoja 'Dashboard' muestra tu planilla bruta y neta del mes, el número de colaboradores y los descuentos totales, con gráficos que se actualizan solos.</t>
  </si>
  <si>
    <t xml:space="preserve">6. Cambiar de mes o de moneda</t>
  </si>
  <si>
    <t xml:space="preserve">En 'Configuración' cambia 'Mes seleccionado' para analizar otro mes, o 'Moneda de visualización' entre Local y USD: todo se recalcula automáticamente.</t>
  </si>
  <si>
    <t xml:space="preserve">7. Celdas protegidas</t>
  </si>
  <si>
    <t xml:space="preserve">Las hojas están protegidas para que no borres fórmulas por accidente. Solo puedes escribir en las celdas resaltadas en color crema / texto azul. Contraseña de desprotección: plantilla2026.</t>
  </si>
  <si>
    <t xml:space="preserve">Nota</t>
  </si>
  <si>
    <t xml:space="preserve">Las tasas de descuento son simplificadas (un % fijo sobre el total de ingresos) para que cualquier país pueda adaptarlas. No reemplazan el cálculo legal de planillas de tu país; para eso consulta a un contador o especialista en nómina.</t>
  </si>
  <si>
    <t xml:space="preserve">Soporte y otras plantillas de esta línea de productos: www.tumarca.com</t>
  </si>
  <si>
    <t xml:space="preserve">CONFIGURACIÓN Y MONEDA</t>
  </si>
  <si>
    <t xml:space="preserve">Parámetro</t>
  </si>
  <si>
    <t xml:space="preserve">Valor</t>
  </si>
  <si>
    <t xml:space="preserve">Notas</t>
  </si>
  <si>
    <t xml:space="preserve">Nombre de moneda local</t>
  </si>
  <si>
    <t xml:space="preserve">Soles (PEN)</t>
  </si>
  <si>
    <t xml:space="preserve">Solo referencia. Escribe el nombre de tu moneda.</t>
  </si>
  <si>
    <t xml:space="preserve">Símbolo de moneda local</t>
  </si>
  <si>
    <t xml:space="preserve">S/</t>
  </si>
  <si>
    <t xml:space="preserve">Símbolo que se usará en el Dashboard cuando la vista esté en LOCAL.</t>
  </si>
  <si>
    <t xml:space="preserve">Tipo de cambio (1 USD =)</t>
  </si>
  <si>
    <t xml:space="preserve">Cuántas unidades de tu moneda local equivalen a 1 USD.</t>
  </si>
  <si>
    <t xml:space="preserve">Moneda de visualización</t>
  </si>
  <si>
    <t xml:space="preserve">Local</t>
  </si>
  <si>
    <t xml:space="preserve">Elige LOCAL o USD. Afecta Resumen y Dashboard.</t>
  </si>
  <si>
    <t xml:space="preserve">Tasa de seguro social (%)</t>
  </si>
  <si>
    <t xml:space="preserve">Porcentaje de descuento por seguro social/pensión sobre el total de ingresos.</t>
  </si>
  <si>
    <t xml:space="preserve">Tasa de impuesto/retención (%)</t>
  </si>
  <si>
    <t xml:space="preserve">Porcentaje de retención de impuesto sobre el total de ingresos.</t>
  </si>
  <si>
    <t xml:space="preserve">Mes seleccionado</t>
  </si>
  <si>
    <t xml:space="preserve">Enero</t>
  </si>
  <si>
    <t xml:space="preserve">Mes que se muestra en Resumen y Dashboard.</t>
  </si>
  <si>
    <t xml:space="preserve">Año de análisis</t>
  </si>
  <si>
    <t xml:space="preserve">Año que se usa como referencia.</t>
  </si>
  <si>
    <t xml:space="preserve">Valores calculados (no editar)</t>
  </si>
  <si>
    <t xml:space="preserve">Número de mes seleccionado</t>
  </si>
  <si>
    <t xml:space="preserve">1=Enero ... 12=Diciembre.</t>
  </si>
  <si>
    <t xml:space="preserve">Símbolo de moneda actual</t>
  </si>
  <si>
    <t xml:space="preserve">Símbolo que verás en el Dashboard según la moneda elegida.</t>
  </si>
  <si>
    <t xml:space="preserve">Cambia 'Moneda de visualización' entre Local y USD para recalcular automáticamente toda la plantilla.</t>
  </si>
  <si>
    <t xml:space="preserve">PLANTILLA DE EMPLEADOS</t>
  </si>
  <si>
    <t xml:space="preserve">Código</t>
  </si>
  <si>
    <t xml:space="preserve">Nombre</t>
  </si>
  <si>
    <t xml:space="preserve">Cargo</t>
  </si>
  <si>
    <t xml:space="preserve">Fecha de ingreso</t>
  </si>
  <si>
    <t xml:space="preserve">Sueldo base mensual</t>
  </si>
  <si>
    <t xml:space="preserve">EMP-01</t>
  </si>
  <si>
    <t xml:space="preserve">Ana Torres</t>
  </si>
  <si>
    <t xml:space="preserve">Gerente General</t>
  </si>
  <si>
    <t xml:space="preserve">EMP-02</t>
  </si>
  <si>
    <t xml:space="preserve">Luis Medina</t>
  </si>
  <si>
    <t xml:space="preserve">Contador</t>
  </si>
  <si>
    <t xml:space="preserve">EMP-03</t>
  </si>
  <si>
    <t xml:space="preserve">Sofía Vargas</t>
  </si>
  <si>
    <t xml:space="preserve">Ejecutiva de Ventas</t>
  </si>
  <si>
    <t xml:space="preserve">EMP-04</t>
  </si>
  <si>
    <t xml:space="preserve">Jorge Paredes</t>
  </si>
  <si>
    <t xml:space="preserve">Asistente Administrativo</t>
  </si>
  <si>
    <t xml:space="preserve">EMP-05</t>
  </si>
  <si>
    <t xml:space="preserve">Valeria Ríos</t>
  </si>
  <si>
    <t xml:space="preserve">Diseñadora</t>
  </si>
  <si>
    <t xml:space="preserve">BONIFICACIONES / HORAS EXTRA (por colaborador y mes)</t>
  </si>
  <si>
    <t xml:space="preserve">Monto adicional al sueldo base de cada colaborador en cada mes (bonos, comisiones, horas extra).</t>
  </si>
  <si>
    <t xml:space="preserve">Colaborador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</si>
  <si>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</si>
  <si>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</si>
  <si>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</si>
  <si>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</si>
  <si>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</si>
  <si>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</si>
  <si>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Jul</t>
  </si>
  <si>
    <t xml:space="preserve">Ago</t>
  </si>
  <si>
    <t xml:space="preserve">Sep</t>
  </si>
  <si>
    <t xml:space="preserve">Oct</t>
  </si>
  <si>
    <t xml:space="preserve">Nov</t>
  </si>
  <si>
    <t xml:space="preserve">Dic</t>
  </si>
  <si>
    <t xml:space="preserve">Total anual</t>
  </si>
  <si>
    <t xml:space="preserve">RESUMEN DINÁMICO (se actualiza solo)</t>
  </si>
  <si>
    <t xml:space="preserve">PLANILLA POR COLABORADOR (mes seleccionado)</t>
  </si>
  <si>
    <t xml:space="preserve">Sueldo base</t>
  </si>
  <si>
    <t xml:space="preserve">Bonificación</t>
  </si>
  <si>
    <t xml:space="preserve">Total ingresos</t>
  </si>
  <si>
    <t xml:space="preserve">Descuentos</t>
  </si>
  <si>
    <t xml:space="preserve">Sueldo neto</t>
  </si>
  <si>
    <t xml:space="preserve">TOTAL</t>
  </si>
  <si>
    <t xml:space="preserve">N° de colaboradores activos</t>
  </si>
  <si>
    <t xml:space="preserve">EVOLUCIÓN MENSUAL DE LA PLANILLA</t>
  </si>
  <si>
    <t xml:space="preserve">Mes</t>
  </si>
  <si>
    <t xml:space="preserve">Planilla bruta</t>
  </si>
  <si>
    <t xml:space="preserve">Planilla neta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</si>
  <si>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</si>
  <si>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</si>
  <si>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</si>
  <si>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</si>
  <si>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</si>
  <si>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</si>
  <si>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</si>
  <si>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</si>
  <si>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</si>
  <si>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</si>
  <si>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</si>
  <si>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DASHBOARD · NÓMINA BÁSICA</t>
  </si>
  <si>
    <t xml:space="preserve">PLANILLA BRUTA (MES)</t>
  </si>
  <si>
    <t xml:space="preserve">DESCUENTOS (MES)</t>
  </si>
  <si>
    <t xml:space="preserve">PLANILLA NETA (MES)</t>
  </si>
  <si>
    <t xml:space="preserve">N° COLABORADORES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</si>
</sst>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0"/>
    <numFmt numFmtId="166" formatCode="dd/mm/yyyy"/>
    <numFmt numFmtId="167" formatCode="#,##0.00"/>
    <numFmt numFmtId="168" formatCode="#,##0"/>
    <numFmt numFmtId="169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2CA58D"/>
      <name val="Arial"/>
      <family val="0"/>
      <charset val="1"/>
    </font>
    <font>
      <b val="true"/>
      <sz val="28"/>
      <color rgb="FF1F3B57"/>
      <name val="Arial"/>
      <family val="0"/>
      <charset val="1"/>
    </font>
    <font>
      <sz val="11"/>
      <color rgb="FF1A1A1A"/>
      <name val="Arial"/>
      <family val="0"/>
      <charset val="1"/>
    </font>
    <font>
      <b val="true"/>
      <sz val="11"/>
      <color rgb="FF1F3B57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C9A24B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6"/>
      <color rgb="FF1F3B57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2F4F6"/>
        <bgColor rgb="FFF9F9F9"/>
      </patternFill>
    </fill>
    <fill>
      <patternFill patternType="solid">
        <fgColor rgb="FF1F3B57"/>
        <bgColor rgb="FF003366"/>
      </patternFill>
    </fill>
    <fill>
      <patternFill patternType="solid">
        <fgColor rgb="FFFFF6D9"/>
        <bgColor rgb="FFF9F9F9"/>
      </patternFill>
    </fill>
    <fill>
      <patternFill patternType="solid">
        <fgColor rgb="FF2CA58D"/>
        <bgColor rgb="FF4299B0"/>
      </patternFill>
    </fill>
    <fill>
      <patternFill patternType="solid">
        <fgColor rgb="FFB23B3B"/>
        <bgColor rgb="FFAB4744"/>
      </patternFill>
    </fill>
    <fill>
      <patternFill patternType="solid">
        <fgColor rgb="FFC9A24B"/>
        <bgColor rgb="FFDC853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EE3"/>
      </left>
      <right style="thin">
        <color rgb="FFD9DEE3"/>
      </right>
      <top style="thin">
        <color rgb="FFD9DEE3"/>
      </top>
      <bottom style="thin">
        <color rgb="FFD9DE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6" fontId="14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14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4F81BD"/>
      <rgbColor rgb="FFB8CD97"/>
      <rgbColor rgb="FF878787"/>
      <rgbColor rgb="FF93A9CE"/>
      <rgbColor rgb="FFB23B3B"/>
      <rgbColor rgb="FFFFF6D9"/>
      <rgbColor rgb="FFF2F4F6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D9DEE3"/>
      <rgbColor rgb="FFFFFF99"/>
      <rgbColor rgb="FF99CCFF"/>
      <rgbColor rgb="FFD09493"/>
      <rgbColor rgb="FFCC99FF"/>
      <rgbColor rgb="FFFFCC99"/>
      <rgbColor rgb="FF4A7EBB"/>
      <rgbColor rgb="FF4299B0"/>
      <rgbColor rgb="FF9BBB59"/>
      <rgbColor rgb="FFFFCC00"/>
      <rgbColor rgb="FFC9A24B"/>
      <rgbColor rgb="FFFF6600"/>
      <rgbColor rgb="FF725990"/>
      <rgbColor rgb="FFA99BBD"/>
      <rgbColor rgb="FF003366"/>
      <rgbColor rgb="FF2CA58D"/>
      <rgbColor rgb="FF003300"/>
      <rgbColor rgb="FF1A1A1A"/>
      <rgbColor rgb="FFC0504D"/>
      <rgbColor rgb="FFAB4744"/>
      <rgbColor rgb="FF555555"/>
      <rgbColor rgb="FF1F3B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Sueldo neto por colaborador (mes)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Resumen!H6</c:f>
              <c:strCache>
                <c:ptCount val="1"/>
                <c:pt idx="0">
                  <c:v>Sueldo neto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Pt>
            <c:idx val="8"/>
            <c:spPr>
              <a:solidFill>
                <a:srgbClr val="b8cd97"/>
              </a:solidFill>
              <a:ln w="0">
                <a:noFill/>
              </a:ln>
            </c:spPr>
          </c:dPt>
          <c:dPt>
            <c:idx val="9"/>
            <c:spPr>
              <a:solidFill>
                <a:srgbClr val="a99bbd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Resumen!$B$7:$B$16</c:f>
              <c:strCache>
                <c:ptCount val="10"/>
                <c:pt idx="0">
                  <c:v>Ana Torres</c:v>
                </c:pt>
                <c:pt idx="1">
                  <c:v>Luis Medina</c:v>
                </c:pt>
                <c:pt idx="2">
                  <c:v>Sofía Vargas</c:v>
                </c:pt>
                <c:pt idx="3">
                  <c:v>Jorge Paredes</c:v>
                </c:pt>
                <c:pt idx="4">
                  <c:v>Valeria Ríos</c:v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</c:strCache>
            </c:strRef>
          </c:cat>
          <c:val>
            <c:numRef>
              <c:f>Resumen!$H$7:$H$16</c:f>
              <c:numCache>
                <c:formatCode>#,##0.00</c:formatCode>
                <c:ptCount val="10"/>
                <c:pt idx="0">
                  <c:v>2133</c:v>
                </c:pt>
                <c:pt idx="1">
                  <c:v>1264</c:v>
                </c:pt>
                <c:pt idx="2">
                  <c:v>1066.5</c:v>
                </c:pt>
                <c:pt idx="3">
                  <c:v>790</c:v>
                </c:pt>
                <c:pt idx="4">
                  <c:v>1027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Ingresos vs. sueldo neto por colaborador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Resumen!F6</c:f>
              <c:strCache>
                <c:ptCount val="1"/>
                <c:pt idx="0">
                  <c:v>Total ingresos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Resumen!$B$7:$B$16</c:f>
              <c:strCache>
                <c:ptCount val="10"/>
                <c:pt idx="0">
                  <c:v>Ana Torres</c:v>
                </c:pt>
                <c:pt idx="1">
                  <c:v>Luis Medina</c:v>
                </c:pt>
                <c:pt idx="2">
                  <c:v>Sofía Vargas</c:v>
                </c:pt>
                <c:pt idx="3">
                  <c:v>Jorge Paredes</c:v>
                </c:pt>
                <c:pt idx="4">
                  <c:v>Valeria Ríos</c:v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</c:strCache>
            </c:strRef>
          </c:cat>
          <c:val>
            <c:numRef>
              <c:f>Resumen!$F$7:$F$16</c:f>
              <c:numCache>
                <c:formatCode>#,##0.00</c:formatCode>
                <c:ptCount val="10"/>
                <c:pt idx="0">
                  <c:v>2700</c:v>
                </c:pt>
                <c:pt idx="1">
                  <c:v>1600</c:v>
                </c:pt>
                <c:pt idx="2">
                  <c:v>1350</c:v>
                </c:pt>
                <c:pt idx="3">
                  <c:v>1000</c:v>
                </c:pt>
                <c:pt idx="4">
                  <c:v>1300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strRef>
              <c:f>Resumen!G6</c:f>
              <c:strCache>
                <c:ptCount val="1"/>
                <c:pt idx="0">
                  <c:v>Descuentos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Resumen!$B$7:$B$16</c:f>
              <c:strCache>
                <c:ptCount val="10"/>
                <c:pt idx="0">
                  <c:v>Ana Torres</c:v>
                </c:pt>
                <c:pt idx="1">
                  <c:v>Luis Medina</c:v>
                </c:pt>
                <c:pt idx="2">
                  <c:v>Sofía Vargas</c:v>
                </c:pt>
                <c:pt idx="3">
                  <c:v>Jorge Paredes</c:v>
                </c:pt>
                <c:pt idx="4">
                  <c:v>Valeria Ríos</c:v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</c:strCache>
            </c:strRef>
          </c:cat>
          <c:val>
            <c:numRef>
              <c:f>Resumen!$G$7:$G$16</c:f>
              <c:numCache>
                <c:formatCode>#,##0.00</c:formatCode>
                <c:ptCount val="10"/>
                <c:pt idx="0">
                  <c:v>567</c:v>
                </c:pt>
                <c:pt idx="1">
                  <c:v>336</c:v>
                </c:pt>
                <c:pt idx="2">
                  <c:v>283.5</c:v>
                </c:pt>
                <c:pt idx="3">
                  <c:v>210</c:v>
                </c:pt>
                <c:pt idx="4">
                  <c:v>273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2"/>
          <c:order val="2"/>
          <c:tx>
            <c:strRef>
              <c:f>Resumen!H6</c:f>
              <c:strCache>
                <c:ptCount val="1"/>
                <c:pt idx="0">
                  <c:v>Sueldo neto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Resumen!$B$7:$B$16</c:f>
              <c:strCache>
                <c:ptCount val="10"/>
                <c:pt idx="0">
                  <c:v>Ana Torres</c:v>
                </c:pt>
                <c:pt idx="1">
                  <c:v>Luis Medina</c:v>
                </c:pt>
                <c:pt idx="2">
                  <c:v>Sofía Vargas</c:v>
                </c:pt>
                <c:pt idx="3">
                  <c:v>Jorge Paredes</c:v>
                </c:pt>
                <c:pt idx="4">
                  <c:v>Valeria Ríos</c:v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</c:strCache>
            </c:strRef>
          </c:cat>
          <c:val>
            <c:numRef>
              <c:f>Resumen!$H$7:$H$16</c:f>
              <c:numCache>
                <c:formatCode>#,##0.00</c:formatCode>
                <c:ptCount val="10"/>
                <c:pt idx="0">
                  <c:v>2133</c:v>
                </c:pt>
                <c:pt idx="1">
                  <c:v>1264</c:v>
                </c:pt>
                <c:pt idx="2">
                  <c:v>1066.5</c:v>
                </c:pt>
                <c:pt idx="3">
                  <c:v>790</c:v>
                </c:pt>
                <c:pt idx="4">
                  <c:v>1027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gapWidth val="150"/>
        <c:overlap val="0"/>
        <c:axId val="34242849"/>
        <c:axId val="50341019"/>
      </c:barChart>
      <c:catAx>
        <c:axId val="342428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341019"/>
        <c:crosses val="autoZero"/>
        <c:auto val="1"/>
        <c:lblAlgn val="ctr"/>
        <c:lblOffset val="100"/>
        <c:noMultiLvlLbl val="0"/>
      </c:catAx>
      <c:valAx>
        <c:axId val="503410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2428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Evolución mensual de la planilla neta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Resumen!E22</c:f>
              <c:strCache>
                <c:ptCount val="1"/>
                <c:pt idx="0">
                  <c:v>Planilla neta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Resumen!$B$23:$B$34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Resumen!$E$23:$E$34</c:f>
              <c:numCache>
                <c:formatCode>#,##0.00</c:formatCode>
                <c:ptCount val="12"/>
                <c:pt idx="0">
                  <c:v>6280.5</c:v>
                </c:pt>
                <c:pt idx="1">
                  <c:v>6256.8</c:v>
                </c:pt>
                <c:pt idx="2">
                  <c:v>6462.2</c:v>
                </c:pt>
                <c:pt idx="3">
                  <c:v>6004</c:v>
                </c:pt>
                <c:pt idx="4">
                  <c:v>6004</c:v>
                </c:pt>
                <c:pt idx="5">
                  <c:v>6162</c:v>
                </c:pt>
                <c:pt idx="6">
                  <c:v>6004</c:v>
                </c:pt>
                <c:pt idx="7">
                  <c:v>6004</c:v>
                </c:pt>
                <c:pt idx="8">
                  <c:v>6320</c:v>
                </c:pt>
                <c:pt idx="9">
                  <c:v>6004</c:v>
                </c:pt>
                <c:pt idx="10">
                  <c:v>6004</c:v>
                </c:pt>
                <c:pt idx="11">
                  <c:v>7070.5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9497474"/>
        <c:axId val="49143758"/>
      </c:lineChart>
      <c:catAx>
        <c:axId val="694974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143758"/>
        <c:crosses val="autoZero"/>
        <c:auto val="1"/>
        <c:lblAlgn val="ctr"/>
        <c:lblOffset val="100"/>
        <c:noMultiLvlLbl val="0"/>
      </c:catAx>
      <c:valAx>
        <c:axId val="491437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49747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0</xdr:rowOff>
    </xdr:from>
    <xdr:to>
      <xdr:col>4</xdr:col>
      <xdr:colOff>1132560</xdr:colOff>
      <xdr:row>25</xdr:row>
      <xdr:rowOff>1080</xdr:rowOff>
    </xdr:to>
    <xdr:graphicFrame>
      <xdr:nvGraphicFramePr>
        <xdr:cNvPr id="0" name="Chart 1"/>
        <xdr:cNvGraphicFramePr/>
      </xdr:nvGraphicFramePr>
      <xdr:xfrm>
        <a:off x="266760" y="189540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8</xdr:row>
      <xdr:rowOff>0</xdr:rowOff>
    </xdr:from>
    <xdr:to>
      <xdr:col>7</xdr:col>
      <xdr:colOff>1132200</xdr:colOff>
      <xdr:row>25</xdr:row>
      <xdr:rowOff>1080</xdr:rowOff>
    </xdr:to>
    <xdr:graphicFrame>
      <xdr:nvGraphicFramePr>
        <xdr:cNvPr id="1" name="Chart 2"/>
        <xdr:cNvGraphicFramePr/>
      </xdr:nvGraphicFramePr>
      <xdr:xfrm>
        <a:off x="4533840" y="189540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27</xdr:row>
      <xdr:rowOff>0</xdr:rowOff>
    </xdr:from>
    <xdr:to>
      <xdr:col>9</xdr:col>
      <xdr:colOff>576360</xdr:colOff>
      <xdr:row>44</xdr:row>
      <xdr:rowOff>1080</xdr:rowOff>
    </xdr:to>
    <xdr:graphicFrame>
      <xdr:nvGraphicFramePr>
        <xdr:cNvPr id="2" name="Chart 3"/>
        <xdr:cNvGraphicFramePr/>
      </xdr:nvGraphicFramePr>
      <xdr:xfrm>
        <a:off x="266760" y="5514840"/>
        <a:ext cx="107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6" min="2" style="0" width="22"/>
    <col collapsed="false" customWidth="true" hidden="false" outlineLevel="0" max="7" min="7" style="0" width="4"/>
  </cols>
  <sheetData>
    <row r="2" customFormat="false" ht="19.5" hidden="false" customHeight="true" outlineLevel="0" collapsed="false">
      <c r="B2" s="1" t="s">
        <v>0</v>
      </c>
      <c r="C2" s="1"/>
      <c r="D2" s="1"/>
      <c r="E2" s="1"/>
      <c r="F2" s="1"/>
    </row>
    <row r="3" customFormat="false" ht="19.5" hidden="false" customHeight="true" outlineLevel="0" collapsed="false"/>
    <row r="4" customFormat="false" ht="30" hidden="false" customHeight="true" outlineLevel="0" collapsed="false">
      <c r="B4" s="2" t="s">
        <v>1</v>
      </c>
      <c r="C4" s="2"/>
      <c r="D4" s="2"/>
      <c r="E4" s="2"/>
      <c r="F4" s="2"/>
    </row>
    <row r="5" customFormat="false" ht="19.5" hidden="false" customHeight="true" outlineLevel="0" collapsed="false">
      <c r="B5" s="2"/>
      <c r="C5" s="2"/>
      <c r="D5" s="2"/>
      <c r="E5" s="2"/>
      <c r="F5" s="2"/>
    </row>
    <row r="6" customFormat="false" ht="19.5" hidden="false" customHeight="true" outlineLevel="0" collapsed="false">
      <c r="B6" s="2"/>
      <c r="C6" s="2"/>
      <c r="D6" s="2"/>
      <c r="E6" s="2"/>
      <c r="F6" s="2"/>
    </row>
    <row r="7" customFormat="false" ht="19.5" hidden="false" customHeight="true" outlineLevel="0" collapsed="false">
      <c r="B7" s="3" t="s">
        <v>2</v>
      </c>
      <c r="C7" s="3"/>
      <c r="D7" s="3"/>
      <c r="E7" s="3"/>
      <c r="F7" s="3"/>
    </row>
    <row r="8" customFormat="false" ht="19.5" hidden="false" customHeight="true" outlineLevel="0" collapsed="false">
      <c r="B8" s="3"/>
      <c r="C8" s="3"/>
      <c r="D8" s="3"/>
      <c r="E8" s="3"/>
      <c r="F8" s="3"/>
    </row>
    <row r="10" customFormat="false" ht="19.5" hidden="false" customHeight="true" outlineLevel="0" collapsed="false">
      <c r="B10" s="4" t="s">
        <v>3</v>
      </c>
      <c r="C10" s="4"/>
      <c r="D10" s="4"/>
      <c r="E10" s="4"/>
      <c r="F10" s="4"/>
    </row>
    <row r="11" customFormat="false" ht="18" hidden="false" customHeight="true" outlineLevel="0" collapsed="false">
      <c r="B11" s="5" t="s">
        <v>4</v>
      </c>
      <c r="C11" s="5"/>
      <c r="D11" s="5"/>
      <c r="E11" s="5"/>
      <c r="F11" s="5"/>
    </row>
    <row r="12" customFormat="false" ht="18" hidden="false" customHeight="true" outlineLevel="0" collapsed="false">
      <c r="B12" s="5" t="s">
        <v>5</v>
      </c>
      <c r="C12" s="5"/>
      <c r="D12" s="5"/>
      <c r="E12" s="5"/>
      <c r="F12" s="5"/>
    </row>
    <row r="13" customFormat="false" ht="18" hidden="false" customHeight="true" outlineLevel="0" collapsed="false">
      <c r="B13" s="5" t="s">
        <v>6</v>
      </c>
      <c r="C13" s="5"/>
      <c r="D13" s="5"/>
      <c r="E13" s="5"/>
      <c r="F13" s="5"/>
    </row>
    <row r="14" customFormat="false" ht="18" hidden="false" customHeight="true" outlineLevel="0" collapsed="false">
      <c r="B14" s="5" t="s">
        <v>7</v>
      </c>
      <c r="C14" s="5"/>
      <c r="D14" s="5"/>
      <c r="E14" s="5"/>
      <c r="F14" s="5"/>
    </row>
    <row r="15" customFormat="false" ht="18" hidden="false" customHeight="true" outlineLevel="0" collapsed="false">
      <c r="B15" s="5" t="s">
        <v>8</v>
      </c>
      <c r="C15" s="5"/>
      <c r="D15" s="5"/>
      <c r="E15" s="5"/>
      <c r="F15" s="5"/>
    </row>
    <row r="16" customFormat="false" ht="18" hidden="false" customHeight="true" outlineLevel="0" collapsed="false">
      <c r="B16" s="5" t="s">
        <v>9</v>
      </c>
      <c r="C16" s="5"/>
      <c r="D16" s="5"/>
      <c r="E16" s="5"/>
      <c r="F16" s="5"/>
    </row>
    <row r="17" customFormat="false" ht="18" hidden="false" customHeight="true" outlineLevel="0" collapsed="false">
      <c r="B17" s="5" t="s">
        <v>10</v>
      </c>
      <c r="C17" s="5"/>
      <c r="D17" s="5"/>
      <c r="E17" s="5"/>
      <c r="F17" s="5"/>
    </row>
    <row r="18" customFormat="false" ht="18" hidden="false" customHeight="true" outlineLevel="0" collapsed="false">
      <c r="B18" s="5" t="s">
        <v>11</v>
      </c>
      <c r="C18" s="5"/>
      <c r="D18" s="5"/>
      <c r="E18" s="5"/>
      <c r="F18" s="5"/>
    </row>
    <row r="19" customFormat="false" ht="18" hidden="false" customHeight="true" outlineLevel="0" collapsed="false">
      <c r="B19" s="5" t="s">
        <v>12</v>
      </c>
      <c r="C19" s="5"/>
      <c r="D19" s="5"/>
      <c r="E19" s="5"/>
      <c r="F19" s="5"/>
    </row>
    <row r="20" customFormat="false" ht="18" hidden="false" customHeight="true" outlineLevel="0" collapsed="false">
      <c r="B20" s="5" t="s">
        <v>13</v>
      </c>
      <c r="C20" s="5"/>
      <c r="D20" s="5"/>
      <c r="E20" s="5"/>
      <c r="F20" s="5"/>
    </row>
    <row r="22" customFormat="false" ht="15" hidden="false" customHeight="false" outlineLevel="0" collapsed="false">
      <c r="B22" s="6" t="s">
        <v>14</v>
      </c>
      <c r="C22" s="6"/>
      <c r="D22" s="6"/>
      <c r="E22" s="6"/>
      <c r="F22" s="6"/>
    </row>
    <row r="24" customFormat="false" ht="15" hidden="false" customHeight="false" outlineLevel="0" collapsed="false">
      <c r="B24" s="7" t="s">
        <v>15</v>
      </c>
      <c r="C24" s="7"/>
      <c r="D24" s="7"/>
      <c r="E24" s="7"/>
      <c r="F24" s="7"/>
    </row>
  </sheetData>
  <sheetProtection sheet="true" password="ee36" formatCells="false" formatColumns="false" formatRows="false" insertRows="false" selectLockedCells="true" selectUnlockedCells="true"/>
  <mergeCells count="16">
    <mergeCell ref="B2:F2"/>
    <mergeCell ref="B4:F6"/>
    <mergeCell ref="B7:F8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2:F22"/>
    <mergeCell ref="B24:F24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46"/>
    <col collapsed="false" customWidth="true" hidden="false" outlineLevel="0" max="4" min="4" style="0" width="3"/>
  </cols>
  <sheetData>
    <row r="2" customFormat="false" ht="25.5" hidden="false" customHeight="true" outlineLevel="0" collapsed="false">
      <c r="B2" s="8" t="s">
        <v>16</v>
      </c>
      <c r="C2" s="8"/>
    </row>
    <row r="4" customFormat="false" ht="18" hidden="false" customHeight="true" outlineLevel="0" collapsed="false">
      <c r="B4" s="4" t="s">
        <v>17</v>
      </c>
      <c r="C4" s="4"/>
    </row>
    <row r="5" customFormat="false" ht="42" hidden="false" customHeight="true" outlineLevel="0" collapsed="false">
      <c r="B5" s="9" t="s">
        <v>18</v>
      </c>
      <c r="C5" s="9"/>
    </row>
    <row r="7" customFormat="false" ht="18" hidden="false" customHeight="true" outlineLevel="0" collapsed="false">
      <c r="B7" s="4" t="s">
        <v>19</v>
      </c>
      <c r="C7" s="4"/>
    </row>
    <row r="8" customFormat="false" ht="42" hidden="false" customHeight="true" outlineLevel="0" collapsed="false">
      <c r="B8" s="9" t="s">
        <v>20</v>
      </c>
      <c r="C8" s="9"/>
    </row>
    <row r="10" customFormat="false" ht="18" hidden="false" customHeight="true" outlineLevel="0" collapsed="false">
      <c r="B10" s="4" t="s">
        <v>21</v>
      </c>
      <c r="C10" s="4"/>
    </row>
    <row r="11" customFormat="false" ht="42" hidden="false" customHeight="true" outlineLevel="0" collapsed="false">
      <c r="B11" s="9" t="s">
        <v>22</v>
      </c>
      <c r="C11" s="9"/>
    </row>
    <row r="13" customFormat="false" ht="18" hidden="false" customHeight="true" outlineLevel="0" collapsed="false">
      <c r="B13" s="4" t="s">
        <v>23</v>
      </c>
      <c r="C13" s="4"/>
    </row>
    <row r="14" customFormat="false" ht="42" hidden="false" customHeight="true" outlineLevel="0" collapsed="false">
      <c r="B14" s="9" t="s">
        <v>24</v>
      </c>
      <c r="C14" s="9"/>
    </row>
    <row r="16" customFormat="false" ht="18" hidden="false" customHeight="true" outlineLevel="0" collapsed="false">
      <c r="B16" s="4" t="s">
        <v>25</v>
      </c>
      <c r="C16" s="4"/>
    </row>
    <row r="17" customFormat="false" ht="42" hidden="false" customHeight="true" outlineLevel="0" collapsed="false">
      <c r="B17" s="9" t="s">
        <v>26</v>
      </c>
      <c r="C17" s="9"/>
    </row>
    <row r="19" customFormat="false" ht="18" hidden="false" customHeight="true" outlineLevel="0" collapsed="false">
      <c r="B19" s="4" t="s">
        <v>27</v>
      </c>
      <c r="C19" s="4"/>
    </row>
    <row r="20" customFormat="false" ht="42" hidden="false" customHeight="true" outlineLevel="0" collapsed="false">
      <c r="B20" s="9" t="s">
        <v>28</v>
      </c>
      <c r="C20" s="9"/>
    </row>
    <row r="22" customFormat="false" ht="18" hidden="false" customHeight="true" outlineLevel="0" collapsed="false">
      <c r="B22" s="4" t="s">
        <v>29</v>
      </c>
      <c r="C22" s="4"/>
    </row>
    <row r="23" customFormat="false" ht="42" hidden="false" customHeight="true" outlineLevel="0" collapsed="false">
      <c r="B23" s="9" t="s">
        <v>30</v>
      </c>
      <c r="C23" s="9"/>
    </row>
    <row r="25" customFormat="false" ht="18" hidden="false" customHeight="true" outlineLevel="0" collapsed="false">
      <c r="B25" s="4" t="s">
        <v>31</v>
      </c>
      <c r="C25" s="4"/>
    </row>
    <row r="26" customFormat="false" ht="42" hidden="false" customHeight="true" outlineLevel="0" collapsed="false">
      <c r="B26" s="9" t="s">
        <v>32</v>
      </c>
      <c r="C26" s="9"/>
    </row>
    <row r="28" customFormat="false" ht="15" hidden="false" customHeight="false" outlineLevel="0" collapsed="false">
      <c r="B28" s="7" t="s">
        <v>33</v>
      </c>
      <c r="C28" s="7"/>
    </row>
  </sheetData>
  <sheetProtection sheet="true" password="ee36" formatCells="false" formatColumns="false" formatRows="false" insertRows="false" selectLockedCells="true" selectUnlockedCells="true"/>
  <mergeCells count="18">
    <mergeCell ref="B2:C2"/>
    <mergeCell ref="B4:C4"/>
    <mergeCell ref="B5:C5"/>
    <mergeCell ref="B7:C7"/>
    <mergeCell ref="B8:C8"/>
    <mergeCell ref="B10:C10"/>
    <mergeCell ref="B11:C11"/>
    <mergeCell ref="B13:C13"/>
    <mergeCell ref="B14:C14"/>
    <mergeCell ref="B16:C16"/>
    <mergeCell ref="B17:C17"/>
    <mergeCell ref="B19:C19"/>
    <mergeCell ref="B20:C20"/>
    <mergeCell ref="B22:C22"/>
    <mergeCell ref="B23:C23"/>
    <mergeCell ref="B25:C25"/>
    <mergeCell ref="B26:C26"/>
    <mergeCell ref="B28:C28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4" min="4" style="0" width="40"/>
    <col collapsed="false" customWidth="true" hidden="false" outlineLevel="0" max="5" min="5" style="0" width="3"/>
  </cols>
  <sheetData>
    <row r="2" customFormat="false" ht="25.5" hidden="false" customHeight="true" outlineLevel="0" collapsed="false">
      <c r="B2" s="8" t="s">
        <v>34</v>
      </c>
      <c r="C2" s="8"/>
      <c r="D2" s="8"/>
    </row>
    <row r="4" customFormat="false" ht="21.75" hidden="false" customHeight="true" outlineLevel="0" collapsed="false">
      <c r="B4" s="10" t="s">
        <v>35</v>
      </c>
      <c r="C4" s="10" t="s">
        <v>36</v>
      </c>
      <c r="D4" s="10" t="s">
        <v>37</v>
      </c>
    </row>
    <row r="5" customFormat="false" ht="18" hidden="false" customHeight="true" outlineLevel="0" collapsed="false">
      <c r="B5" s="11" t="s">
        <v>38</v>
      </c>
      <c r="C5" s="12" t="s">
        <v>39</v>
      </c>
      <c r="D5" s="13" t="s">
        <v>40</v>
      </c>
    </row>
    <row r="6" customFormat="false" ht="18" hidden="false" customHeight="true" outlineLevel="0" collapsed="false">
      <c r="B6" s="11" t="s">
        <v>41</v>
      </c>
      <c r="C6" s="12" t="s">
        <v>42</v>
      </c>
      <c r="D6" s="13" t="s">
        <v>43</v>
      </c>
    </row>
    <row r="7" customFormat="false" ht="18" hidden="false" customHeight="true" outlineLevel="0" collapsed="false">
      <c r="B7" s="11" t="s">
        <v>44</v>
      </c>
      <c r="C7" s="12" t="n">
        <v>3.75</v>
      </c>
      <c r="D7" s="13" t="s">
        <v>45</v>
      </c>
    </row>
    <row r="8" customFormat="false" ht="18" hidden="false" customHeight="true" outlineLevel="0" collapsed="false">
      <c r="B8" s="11" t="s">
        <v>46</v>
      </c>
      <c r="C8" s="12" t="s">
        <v>47</v>
      </c>
      <c r="D8" s="13" t="s">
        <v>48</v>
      </c>
    </row>
    <row r="9" customFormat="false" ht="18" hidden="false" customHeight="true" outlineLevel="0" collapsed="false">
      <c r="B9" s="11" t="s">
        <v>49</v>
      </c>
      <c r="C9" s="12" t="n">
        <v>0.13</v>
      </c>
      <c r="D9" s="13" t="s">
        <v>50</v>
      </c>
    </row>
    <row r="10" customFormat="false" ht="18" hidden="false" customHeight="true" outlineLevel="0" collapsed="false">
      <c r="B10" s="11" t="s">
        <v>51</v>
      </c>
      <c r="C10" s="12" t="n">
        <v>0.08</v>
      </c>
      <c r="D10" s="13" t="s">
        <v>52</v>
      </c>
    </row>
    <row r="11" customFormat="false" ht="18" hidden="false" customHeight="true" outlineLevel="0" collapsed="false">
      <c r="B11" s="11" t="s">
        <v>53</v>
      </c>
      <c r="C11" s="12" t="s">
        <v>54</v>
      </c>
      <c r="D11" s="13" t="s">
        <v>55</v>
      </c>
    </row>
    <row r="12" customFormat="false" ht="18" hidden="false" customHeight="true" outlineLevel="0" collapsed="false">
      <c r="B12" s="11" t="s">
        <v>56</v>
      </c>
      <c r="C12" s="12" t="n">
        <v>2026</v>
      </c>
      <c r="D12" s="13" t="s">
        <v>57</v>
      </c>
    </row>
    <row r="13" customFormat="false" ht="18" hidden="false" customHeight="true" outlineLevel="0" collapsed="false">
      <c r="B13" s="14" t="s">
        <v>58</v>
      </c>
      <c r="C13" s="15"/>
      <c r="D13" s="15"/>
    </row>
    <row r="14" customFormat="false" ht="18" hidden="false" customHeight="true" outlineLevel="0" collapsed="false">
      <c r="B14" s="11" t="s">
        <v>59</v>
      </c>
      <c r="C14" s="16" t="n">
        <f aca="false">MATCH(C11,{"Enero","Febrero","Marzo","Abril","Mayo","Junio","Julio","Agosto","Septiembre","Octubre","Noviembre","Diciembre"},0)</f>
        <v>1</v>
      </c>
      <c r="D14" s="17" t="s">
        <v>60</v>
      </c>
    </row>
    <row r="15" customFormat="false" ht="18" hidden="false" customHeight="true" outlineLevel="0" collapsed="false">
      <c r="B15" s="18" t="s">
        <v>61</v>
      </c>
      <c r="C15" s="19" t="str">
        <f aca="false">IF(C8="USD","US$",C6)</f>
        <v>S/</v>
      </c>
      <c r="D15" s="17" t="s">
        <v>62</v>
      </c>
    </row>
    <row r="17" customFormat="false" ht="15" hidden="false" customHeight="true" outlineLevel="0" collapsed="false">
      <c r="B17" s="20" t="s">
        <v>63</v>
      </c>
      <c r="C17" s="20"/>
      <c r="D17" s="20"/>
    </row>
  </sheetData>
  <sheetProtection sheet="true" password="ee36" formatCells="false" formatColumns="false" formatRows="false" insertRows="false" selectLockedCells="true" selectUnlockedCells="true"/>
  <mergeCells count="2">
    <mergeCell ref="B2:D2"/>
    <mergeCell ref="B17:D17"/>
  </mergeCells>
  <dataValidations count="2">
    <dataValidation allowBlank="false" errorStyle="stop" operator="between" showDropDown="false" showErrorMessage="false" showInputMessage="false" sqref="C8" type="list">
      <formula1>"Local,USD"</formula1>
      <formula2>0</formula2>
    </dataValidation>
    <dataValidation allowBlank="false" errorStyle="stop" operator="between" showDropDown="false" showErrorMessage="false" showInputMessage="false" sqref="C11" type="list">
      <formula1>"Enero,Febrero,Marzo,Abril,Mayo,Junio,Julio,Agosto,Septiembre,Octubre,Noviembre,Diciembre"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5" min="4" style="0" width="16"/>
    <col collapsed="false" customWidth="true" hidden="false" outlineLevel="0" max="6" min="6" style="0" width="3"/>
  </cols>
  <sheetData>
    <row r="2" customFormat="false" ht="25.5" hidden="false" customHeight="true" outlineLevel="0" collapsed="false">
      <c r="A2" s="8" t="s">
        <v>64</v>
      </c>
      <c r="B2" s="8"/>
      <c r="C2" s="8"/>
      <c r="D2" s="8"/>
      <c r="E2" s="8"/>
    </row>
    <row r="4" customFormat="false" ht="24" hidden="false" customHeight="true" outlineLevel="0" collapsed="false">
      <c r="A4" s="10" t="s">
        <v>65</v>
      </c>
      <c r="B4" s="10" t="s">
        <v>66</v>
      </c>
      <c r="C4" s="10" t="s">
        <v>67</v>
      </c>
      <c r="D4" s="10" t="s">
        <v>68</v>
      </c>
      <c r="E4" s="10" t="s">
        <v>69</v>
      </c>
    </row>
    <row r="5" customFormat="false" ht="15" hidden="false" customHeight="false" outlineLevel="0" collapsed="false">
      <c r="A5" s="12" t="s">
        <v>70</v>
      </c>
      <c r="B5" s="21" t="s">
        <v>71</v>
      </c>
      <c r="C5" s="21" t="s">
        <v>72</v>
      </c>
      <c r="D5" s="22" t="n">
        <v>44986</v>
      </c>
      <c r="E5" s="23" t="n">
        <v>2500</v>
      </c>
    </row>
    <row r="6" customFormat="false" ht="15" hidden="false" customHeight="false" outlineLevel="0" collapsed="false">
      <c r="A6" s="12" t="s">
        <v>73</v>
      </c>
      <c r="B6" s="21" t="s">
        <v>74</v>
      </c>
      <c r="C6" s="21" t="s">
        <v>75</v>
      </c>
      <c r="D6" s="22" t="n">
        <v>45092</v>
      </c>
      <c r="E6" s="23" t="n">
        <v>1600</v>
      </c>
    </row>
    <row r="7" customFormat="false" ht="15" hidden="false" customHeight="false" outlineLevel="0" collapsed="false">
      <c r="A7" s="12" t="s">
        <v>76</v>
      </c>
      <c r="B7" s="21" t="s">
        <v>77</v>
      </c>
      <c r="C7" s="21" t="s">
        <v>78</v>
      </c>
      <c r="D7" s="22" t="n">
        <v>45301</v>
      </c>
      <c r="E7" s="23" t="n">
        <v>1200</v>
      </c>
    </row>
    <row r="8" customFormat="false" ht="15" hidden="false" customHeight="false" outlineLevel="0" collapsed="false">
      <c r="A8" s="12" t="s">
        <v>79</v>
      </c>
      <c r="B8" s="21" t="s">
        <v>80</v>
      </c>
      <c r="C8" s="21" t="s">
        <v>81</v>
      </c>
      <c r="D8" s="22" t="n">
        <v>45383</v>
      </c>
      <c r="E8" s="23" t="n">
        <v>1000</v>
      </c>
    </row>
    <row r="9" customFormat="false" ht="15" hidden="false" customHeight="false" outlineLevel="0" collapsed="false">
      <c r="A9" s="12" t="s">
        <v>82</v>
      </c>
      <c r="B9" s="21" t="s">
        <v>83</v>
      </c>
      <c r="C9" s="21" t="s">
        <v>84</v>
      </c>
      <c r="D9" s="22" t="n">
        <v>45689</v>
      </c>
      <c r="E9" s="23" t="n">
        <v>1300</v>
      </c>
    </row>
    <row r="10" customFormat="false" ht="15" hidden="false" customHeight="false" outlineLevel="0" collapsed="false">
      <c r="A10" s="12"/>
      <c r="B10" s="21"/>
      <c r="C10" s="21"/>
      <c r="D10" s="22"/>
      <c r="E10" s="23"/>
    </row>
    <row r="11" customFormat="false" ht="15" hidden="false" customHeight="false" outlineLevel="0" collapsed="false">
      <c r="A11" s="12"/>
      <c r="B11" s="21"/>
      <c r="C11" s="21"/>
      <c r="D11" s="22"/>
      <c r="E11" s="23"/>
    </row>
    <row r="12" customFormat="false" ht="15" hidden="false" customHeight="false" outlineLevel="0" collapsed="false">
      <c r="A12" s="12"/>
      <c r="B12" s="21"/>
      <c r="C12" s="21"/>
      <c r="D12" s="22"/>
      <c r="E12" s="23"/>
    </row>
    <row r="13" customFormat="false" ht="15" hidden="false" customHeight="false" outlineLevel="0" collapsed="false">
      <c r="A13" s="12"/>
      <c r="B13" s="21"/>
      <c r="C13" s="21"/>
      <c r="D13" s="22"/>
      <c r="E13" s="23"/>
    </row>
    <row r="14" customFormat="false" ht="15" hidden="false" customHeight="false" outlineLevel="0" collapsed="false">
      <c r="A14" s="12"/>
      <c r="B14" s="21"/>
      <c r="C14" s="21"/>
      <c r="D14" s="22"/>
      <c r="E14" s="23"/>
    </row>
  </sheetData>
  <sheetProtection sheet="true" password="ee36" formatCells="false" formatColumns="false" formatRows="false" insertRows="false" selectLockedCells="true" selectUnlockedCells="true"/>
  <mergeCells count="1">
    <mergeCell ref="A2:E2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N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3" min="2" style="0" width="9"/>
    <col collapsed="false" customWidth="true" hidden="false" outlineLevel="0" max="14" min="14" style="0" width="13"/>
  </cols>
  <sheetData>
    <row r="2" customFormat="false" ht="25.5" hidden="false" customHeight="true" outlineLevel="0" collapsed="false">
      <c r="A2" s="8" t="s">
        <v>85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customFormat="false" ht="15" hidden="false" customHeight="false" outlineLevel="0" collapsed="false">
      <c r="A3" s="7" t="s">
        <v>86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customFormat="false" ht="19.5" hidden="false" customHeight="true" outlineLevel="0" collapsed="false">
      <c r="A4" s="10" t="s">
        <v>87</v>
      </c>
      <c r="B4" s="10" t="s">
        <v>88</v>
      </c>
      <c r="C4" s="10" t="s">
        <v>89</v>
      </c>
      <c r="D4" s="10" t="s">
        <v>90</v>
      </c>
      <c r="E4" s="10" t="s">
        <v>91</v>
      </c>
      <c r="F4" s="10" t="s">
        <v>92</v>
      </c>
      <c r="G4" s="10" t="s">
        <v>93</v>
      </c>
      <c r="H4" s="10" t="s">
        <v>94</v>
      </c>
      <c r="I4" s="10" t="s">
        <v>95</v>
      </c>
      <c r="J4" s="10" t="s">
        <v>96</v>
      </c>
      <c r="K4" s="10" t="s">
        <v>97</v>
      </c>
      <c r="L4" s="10" t="s">
        <v>98</v>
      </c>
      <c r="M4" s="10" t="s">
        <v>99</v>
      </c>
      <c r="N4" s="10" t="s">
        <v>100</v>
      </c>
    </row>
    <row r="5" customFormat="false" ht="15" hidden="false" customHeight="false" outlineLevel="0" collapsed="false">
      <c r="A5" s="24" t="str">
        <f aca="false">Empleados!$B$5</f>
        <v>Ana Torres</v>
      </c>
      <c r="B5" s="25" t="n">
        <v>200</v>
      </c>
      <c r="C5" s="25" t="n">
        <v>0</v>
      </c>
      <c r="D5" s="25" t="n">
        <v>300</v>
      </c>
      <c r="E5" s="25" t="n">
        <v>0</v>
      </c>
      <c r="F5" s="25" t="n">
        <v>0</v>
      </c>
      <c r="G5" s="25" t="n">
        <v>200</v>
      </c>
      <c r="H5" s="25" t="n">
        <v>0</v>
      </c>
      <c r="I5" s="25" t="n">
        <v>0</v>
      </c>
      <c r="J5" s="25" t="n">
        <v>300</v>
      </c>
      <c r="K5" s="25" t="n">
        <v>0</v>
      </c>
      <c r="L5" s="25" t="n">
        <v>0</v>
      </c>
      <c r="M5" s="25" t="n">
        <v>500</v>
      </c>
      <c r="N5" s="26" t="n">
        <f aca="false">SUM(B5:M5)</f>
        <v>1500</v>
      </c>
    </row>
    <row r="6" customFormat="false" ht="15" hidden="false" customHeight="false" outlineLevel="0" collapsed="false">
      <c r="A6" s="24" t="str">
        <f aca="false">Empleados!$B$6</f>
        <v>Luis Medina</v>
      </c>
      <c r="B6" s="25" t="n">
        <v>0</v>
      </c>
      <c r="C6" s="25" t="n">
        <v>0</v>
      </c>
      <c r="D6" s="25" t="n">
        <v>100</v>
      </c>
      <c r="E6" s="25" t="n">
        <v>0</v>
      </c>
      <c r="F6" s="25" t="n">
        <v>0</v>
      </c>
      <c r="G6" s="25" t="n">
        <v>0</v>
      </c>
      <c r="H6" s="25" t="n">
        <v>0</v>
      </c>
      <c r="I6" s="25" t="n">
        <v>0</v>
      </c>
      <c r="J6" s="25" t="n">
        <v>100</v>
      </c>
      <c r="K6" s="25" t="n">
        <v>0</v>
      </c>
      <c r="L6" s="25" t="n">
        <v>0</v>
      </c>
      <c r="M6" s="25" t="n">
        <v>200</v>
      </c>
      <c r="N6" s="26" t="n">
        <f aca="false">SUM(B6:M6)</f>
        <v>400</v>
      </c>
    </row>
    <row r="7" customFormat="false" ht="15" hidden="false" customHeight="false" outlineLevel="0" collapsed="false">
      <c r="A7" s="24" t="str">
        <f aca="false">Empleados!$B$7</f>
        <v>Sofía Vargas</v>
      </c>
      <c r="B7" s="25" t="n">
        <v>150</v>
      </c>
      <c r="C7" s="25" t="n">
        <v>220</v>
      </c>
      <c r="D7" s="25" t="n">
        <v>180</v>
      </c>
      <c r="E7" s="25" t="n">
        <v>0</v>
      </c>
      <c r="F7" s="25" t="n">
        <v>0</v>
      </c>
      <c r="G7" s="25" t="n">
        <v>0</v>
      </c>
      <c r="H7" s="25" t="n">
        <v>0</v>
      </c>
      <c r="I7" s="25" t="n">
        <v>0</v>
      </c>
      <c r="J7" s="25" t="n">
        <v>0</v>
      </c>
      <c r="K7" s="25" t="n">
        <v>0</v>
      </c>
      <c r="L7" s="25" t="n">
        <v>0</v>
      </c>
      <c r="M7" s="25" t="n">
        <v>300</v>
      </c>
      <c r="N7" s="26" t="n">
        <f aca="false">SUM(B7:M7)</f>
        <v>850</v>
      </c>
    </row>
    <row r="8" customFormat="false" ht="15" hidden="false" customHeight="false" outlineLevel="0" collapsed="false">
      <c r="A8" s="24" t="str">
        <f aca="false">Empleados!$B$8</f>
        <v>Jorge Paredes</v>
      </c>
      <c r="B8" s="25" t="n">
        <v>0</v>
      </c>
      <c r="C8" s="25" t="n">
        <v>0</v>
      </c>
      <c r="D8" s="25" t="n">
        <v>0</v>
      </c>
      <c r="E8" s="25" t="n">
        <v>0</v>
      </c>
      <c r="F8" s="25" t="n">
        <v>0</v>
      </c>
      <c r="G8" s="25" t="n">
        <v>0</v>
      </c>
      <c r="H8" s="25" t="n">
        <v>0</v>
      </c>
      <c r="I8" s="25" t="n">
        <v>0</v>
      </c>
      <c r="J8" s="25" t="n">
        <v>0</v>
      </c>
      <c r="K8" s="25" t="n">
        <v>0</v>
      </c>
      <c r="L8" s="25" t="n">
        <v>0</v>
      </c>
      <c r="M8" s="25" t="n">
        <v>150</v>
      </c>
      <c r="N8" s="26" t="n">
        <f aca="false">SUM(B8:M8)</f>
        <v>150</v>
      </c>
    </row>
    <row r="9" customFormat="false" ht="15" hidden="false" customHeight="false" outlineLevel="0" collapsed="false">
      <c r="A9" s="24" t="str">
        <f aca="false">Empleados!$B$9</f>
        <v>Valeria Ríos</v>
      </c>
      <c r="B9" s="25" t="n">
        <v>0</v>
      </c>
      <c r="C9" s="25" t="n">
        <v>100</v>
      </c>
      <c r="D9" s="25" t="n">
        <v>0</v>
      </c>
      <c r="E9" s="25" t="n">
        <v>0</v>
      </c>
      <c r="F9" s="25" t="n">
        <v>0</v>
      </c>
      <c r="G9" s="25" t="n">
        <v>0</v>
      </c>
      <c r="H9" s="25" t="n">
        <v>0</v>
      </c>
      <c r="I9" s="25" t="n">
        <v>0</v>
      </c>
      <c r="J9" s="25" t="n">
        <v>0</v>
      </c>
      <c r="K9" s="25" t="n">
        <v>0</v>
      </c>
      <c r="L9" s="25" t="n">
        <v>0</v>
      </c>
      <c r="M9" s="25" t="n">
        <v>200</v>
      </c>
      <c r="N9" s="26" t="n">
        <f aca="false">SUM(B9:M9)</f>
        <v>300</v>
      </c>
    </row>
    <row r="10" customFormat="false" ht="15" hidden="false" customHeight="false" outlineLevel="0" collapsed="false">
      <c r="A10" s="24" t="n">
        <f aca="false">Empleados!$B$10</f>
        <v>0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6" t="n">
        <f aca="false">SUM(B10:M10)</f>
        <v>0</v>
      </c>
    </row>
    <row r="11" customFormat="false" ht="15" hidden="false" customHeight="false" outlineLevel="0" collapsed="false">
      <c r="A11" s="24" t="n">
        <f aca="false">Empleados!$B$11</f>
        <v>0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6" t="n">
        <f aca="false">SUM(B11:M11)</f>
        <v>0</v>
      </c>
    </row>
    <row r="12" customFormat="false" ht="15" hidden="false" customHeight="false" outlineLevel="0" collapsed="false">
      <c r="A12" s="24" t="n">
        <f aca="false">Empleados!$B$12</f>
        <v>0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6" t="n">
        <f aca="false">SUM(B12:M12)</f>
        <v>0</v>
      </c>
    </row>
    <row r="13" customFormat="false" ht="15" hidden="false" customHeight="false" outlineLevel="0" collapsed="false">
      <c r="A13" s="24" t="n">
        <f aca="false">Empleados!$B$13</f>
        <v>0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6" t="n">
        <f aca="false">SUM(B13:M13)</f>
        <v>0</v>
      </c>
    </row>
    <row r="14" customFormat="false" ht="15" hidden="false" customHeight="false" outlineLevel="0" collapsed="false">
      <c r="A14" s="24" t="n">
        <f aca="false">Empleados!$B$14</f>
        <v>0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6" t="n">
        <f aca="false">SUM(B14:M14)</f>
        <v>0</v>
      </c>
    </row>
  </sheetData>
  <sheetProtection sheet="true" password="ee36" formatCells="false" formatColumns="false" formatRows="false" insertRows="false" selectLockedCells="true" selectUnlockedCells="true"/>
  <mergeCells count="2">
    <mergeCell ref="A2:N2"/>
    <mergeCell ref="A3:N3"/>
  </mergeCells>
  <dataValidations count="1">
    <dataValidation allowBlank="true" error="Ingresa un número igual o mayor a 0." errorStyle="stop" errorTitle="Monto inválido" operator="greaterThanOrEqual" showDropDown="false" showErrorMessage="true" showInputMessage="false" sqref="B5:M14" type="decimal">
      <formula1>0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8" min="4" style="0" width="14"/>
    <col collapsed="false" customWidth="true" hidden="false" outlineLevel="0" max="9" min="9" style="0" width="3"/>
  </cols>
  <sheetData>
    <row r="2" customFormat="false" ht="25.5" hidden="false" customHeight="true" outlineLevel="0" collapsed="false">
      <c r="B2" s="8" t="s">
        <v>101</v>
      </c>
      <c r="C2" s="8"/>
      <c r="D2" s="8"/>
      <c r="E2" s="8"/>
      <c r="F2" s="8"/>
      <c r="G2" s="8"/>
      <c r="H2" s="8"/>
    </row>
    <row r="3" customFormat="false" ht="15" hidden="false" customHeight="false" outlineLevel="0" collapsed="false">
      <c r="B3" s="7" t="str">
        <f aca="false">" Mes: " &amp; Configuracion!$C$11 &amp; "   |   Moneda: " &amp; Configuracion!$C$8</f>
        <v> Mes: Enero   |   Moneda: Local</v>
      </c>
      <c r="C3" s="7"/>
      <c r="D3" s="7"/>
      <c r="E3" s="7"/>
      <c r="F3" s="7"/>
      <c r="G3" s="7"/>
      <c r="H3" s="7"/>
    </row>
    <row r="5" customFormat="false" ht="19.5" hidden="false" customHeight="true" outlineLevel="0" collapsed="false">
      <c r="B5" s="27" t="s">
        <v>102</v>
      </c>
      <c r="C5" s="27"/>
      <c r="D5" s="27"/>
      <c r="E5" s="27"/>
      <c r="F5" s="27"/>
      <c r="G5" s="27"/>
      <c r="H5" s="27"/>
    </row>
    <row r="6" customFormat="false" ht="25.5" hidden="false" customHeight="true" outlineLevel="0" collapsed="false">
      <c r="B6" s="10" t="s">
        <v>87</v>
      </c>
      <c r="C6" s="10" t="s">
        <v>67</v>
      </c>
      <c r="D6" s="10" t="s">
        <v>103</v>
      </c>
      <c r="E6" s="10" t="s">
        <v>104</v>
      </c>
      <c r="F6" s="10" t="s">
        <v>105</v>
      </c>
      <c r="G6" s="10" t="s">
        <v>106</v>
      </c>
      <c r="H6" s="10" t="s">
        <v>107</v>
      </c>
    </row>
    <row r="7" customFormat="false" ht="15" hidden="false" customHeight="false" outlineLevel="0" collapsed="false">
      <c r="B7" s="24" t="str">
        <f aca="false">IF(Empleados!$A$5="","",Empleados!$B$5)</f>
        <v>Ana Torres</v>
      </c>
      <c r="C7" s="24" t="str">
        <f aca="false">IF(Empleados!$A$5="","",Empleados!$C$5)</f>
        <v>Gerente General</v>
      </c>
      <c r="D7" s="28" t="n">
        <f aca="false">IF(Empleados!$A$5="",0,Empleados!$E$5*Configuracion!$C$14)</f>
        <v>2500</v>
      </c>
      <c r="E7" s="28" t="n">
        <f aca="false">IF(Empleados!$A$5="",0,INDEX(Bonificaciones!$B$5:$M$5,Configuracion!$C$14)*Configuracion!$C$14)</f>
        <v>200</v>
      </c>
      <c r="F7" s="28" t="n">
        <f aca="false">D7+E7</f>
        <v>2700</v>
      </c>
      <c r="G7" s="28" t="n">
        <f aca="false">F7*(Configuracion!$C$9+Configuracion!$C$10)</f>
        <v>567</v>
      </c>
      <c r="H7" s="28" t="n">
        <f aca="false">F7-G7</f>
        <v>2133</v>
      </c>
    </row>
    <row r="8" customFormat="false" ht="15" hidden="false" customHeight="false" outlineLevel="0" collapsed="false">
      <c r="B8" s="24" t="str">
        <f aca="false">IF(Empleados!$A$6="","",Empleados!$B$6)</f>
        <v>Luis Medina</v>
      </c>
      <c r="C8" s="24" t="str">
        <f aca="false">IF(Empleados!$A$6="","",Empleados!$C$6)</f>
        <v>Contador</v>
      </c>
      <c r="D8" s="28" t="n">
        <f aca="false">IF(Empleados!$A$6="",0,Empleados!$E$6*Configuracion!$C$14)</f>
        <v>1600</v>
      </c>
      <c r="E8" s="28" t="n">
        <f aca="false">IF(Empleados!$A$6="",0,INDEX(Bonificaciones!$B$6:$M$6,Configuracion!$C$14)*Configuracion!$C$14)</f>
        <v>0</v>
      </c>
      <c r="F8" s="28" t="n">
        <f aca="false">D8+E8</f>
        <v>1600</v>
      </c>
      <c r="G8" s="28" t="n">
        <f aca="false">F8*(Configuracion!$C$9+Configuracion!$C$10)</f>
        <v>336</v>
      </c>
      <c r="H8" s="28" t="n">
        <f aca="false">F8-G8</f>
        <v>1264</v>
      </c>
    </row>
    <row r="9" customFormat="false" ht="15" hidden="false" customHeight="false" outlineLevel="0" collapsed="false">
      <c r="B9" s="24" t="str">
        <f aca="false">IF(Empleados!$A$7="","",Empleados!$B$7)</f>
        <v>Sofía Vargas</v>
      </c>
      <c r="C9" s="24" t="str">
        <f aca="false">IF(Empleados!$A$7="","",Empleados!$C$7)</f>
        <v>Ejecutiva de Ventas</v>
      </c>
      <c r="D9" s="28" t="n">
        <f aca="false">IF(Empleados!$A$7="",0,Empleados!$E$7*Configuracion!$C$14)</f>
        <v>1200</v>
      </c>
      <c r="E9" s="28" t="n">
        <f aca="false">IF(Empleados!$A$7="",0,INDEX(Bonificaciones!$B$7:$M$7,Configuracion!$C$14)*Configuracion!$C$14)</f>
        <v>150</v>
      </c>
      <c r="F9" s="28" t="n">
        <f aca="false">D9+E9</f>
        <v>1350</v>
      </c>
      <c r="G9" s="28" t="n">
        <f aca="false">F9*(Configuracion!$C$9+Configuracion!$C$10)</f>
        <v>283.5</v>
      </c>
      <c r="H9" s="28" t="n">
        <f aca="false">F9-G9</f>
        <v>1066.5</v>
      </c>
    </row>
    <row r="10" customFormat="false" ht="15" hidden="false" customHeight="false" outlineLevel="0" collapsed="false">
      <c r="B10" s="24" t="str">
        <f aca="false">IF(Empleados!$A$8="","",Empleados!$B$8)</f>
        <v>Jorge Paredes</v>
      </c>
      <c r="C10" s="24" t="str">
        <f aca="false">IF(Empleados!$A$8="","",Empleados!$C$8)</f>
        <v>Asistente Administrativo</v>
      </c>
      <c r="D10" s="28" t="n">
        <f aca="false">IF(Empleados!$A$8="",0,Empleados!$E$8*Configuracion!$C$14)</f>
        <v>1000</v>
      </c>
      <c r="E10" s="28" t="n">
        <f aca="false">IF(Empleados!$A$8="",0,INDEX(Bonificaciones!$B$8:$M$8,Configuracion!$C$14)*Configuracion!$C$14)</f>
        <v>0</v>
      </c>
      <c r="F10" s="28" t="n">
        <f aca="false">D10+E10</f>
        <v>1000</v>
      </c>
      <c r="G10" s="28" t="n">
        <f aca="false">F10*(Configuracion!$C$9+Configuracion!$C$10)</f>
        <v>210</v>
      </c>
      <c r="H10" s="28" t="n">
        <f aca="false">F10-G10</f>
        <v>790</v>
      </c>
    </row>
    <row r="11" customFormat="false" ht="15" hidden="false" customHeight="false" outlineLevel="0" collapsed="false">
      <c r="B11" s="24" t="str">
        <f aca="false">IF(Empleados!$A$9="","",Empleados!$B$9)</f>
        <v>Valeria Ríos</v>
      </c>
      <c r="C11" s="24" t="str">
        <f aca="false">IF(Empleados!$A$9="","",Empleados!$C$9)</f>
        <v>Diseñadora</v>
      </c>
      <c r="D11" s="28" t="n">
        <f aca="false">IF(Empleados!$A$9="",0,Empleados!$E$9*Configuracion!$C$14)</f>
        <v>1300</v>
      </c>
      <c r="E11" s="28" t="n">
        <f aca="false">IF(Empleados!$A$9="",0,INDEX(Bonificaciones!$B$9:$M$9,Configuracion!$C$14)*Configuracion!$C$14)</f>
        <v>0</v>
      </c>
      <c r="F11" s="28" t="n">
        <f aca="false">D11+E11</f>
        <v>1300</v>
      </c>
      <c r="G11" s="28" t="n">
        <f aca="false">F11*(Configuracion!$C$9+Configuracion!$C$10)</f>
        <v>273</v>
      </c>
      <c r="H11" s="28" t="n">
        <f aca="false">F11-G11</f>
        <v>1027</v>
      </c>
    </row>
    <row r="12" customFormat="false" ht="15" hidden="false" customHeight="false" outlineLevel="0" collapsed="false">
      <c r="B12" s="24" t="str">
        <f aca="false">IF(Empleados!$A$10="","",Empleados!$B$10)</f>
        <v/>
      </c>
      <c r="C12" s="24" t="str">
        <f aca="false">IF(Empleados!$A$10="","",Empleados!$C$10)</f>
        <v/>
      </c>
      <c r="D12" s="28" t="n">
        <f aca="false">IF(Empleados!$A$10="",0,Empleados!$E$10*Configuracion!$C$14)</f>
        <v>0</v>
      </c>
      <c r="E12" s="28" t="n">
        <f aca="false">IF(Empleados!$A$10="",0,INDEX(Bonificaciones!$B$10:$M$10,Configuracion!$C$14)*Configuracion!$C$14)</f>
        <v>0</v>
      </c>
      <c r="F12" s="28" t="n">
        <f aca="false">D12+E12</f>
        <v>0</v>
      </c>
      <c r="G12" s="28" t="n">
        <f aca="false">F12*(Configuracion!$C$9+Configuracion!$C$10)</f>
        <v>0</v>
      </c>
      <c r="H12" s="28" t="n">
        <f aca="false">F12-G12</f>
        <v>0</v>
      </c>
    </row>
    <row r="13" customFormat="false" ht="15" hidden="false" customHeight="false" outlineLevel="0" collapsed="false">
      <c r="B13" s="24" t="str">
        <f aca="false">IF(Empleados!$A$11="","",Empleados!$B$11)</f>
        <v/>
      </c>
      <c r="C13" s="24" t="str">
        <f aca="false">IF(Empleados!$A$11="","",Empleados!$C$11)</f>
        <v/>
      </c>
      <c r="D13" s="28" t="n">
        <f aca="false">IF(Empleados!$A$11="",0,Empleados!$E$11*Configuracion!$C$14)</f>
        <v>0</v>
      </c>
      <c r="E13" s="28" t="n">
        <f aca="false">IF(Empleados!$A$11="",0,INDEX(Bonificaciones!$B$11:$M$11,Configuracion!$C$14)*Configuracion!$C$14)</f>
        <v>0</v>
      </c>
      <c r="F13" s="28" t="n">
        <f aca="false">D13+E13</f>
        <v>0</v>
      </c>
      <c r="G13" s="28" t="n">
        <f aca="false">F13*(Configuracion!$C$9+Configuracion!$C$10)</f>
        <v>0</v>
      </c>
      <c r="H13" s="28" t="n">
        <f aca="false">F13-G13</f>
        <v>0</v>
      </c>
    </row>
    <row r="14" customFormat="false" ht="15" hidden="false" customHeight="false" outlineLevel="0" collapsed="false">
      <c r="B14" s="24" t="str">
        <f aca="false">IF(Empleados!$A$12="","",Empleados!$B$12)</f>
        <v/>
      </c>
      <c r="C14" s="24" t="str">
        <f aca="false">IF(Empleados!$A$12="","",Empleados!$C$12)</f>
        <v/>
      </c>
      <c r="D14" s="28" t="n">
        <f aca="false">IF(Empleados!$A$12="",0,Empleados!$E$12*Configuracion!$C$14)</f>
        <v>0</v>
      </c>
      <c r="E14" s="28" t="n">
        <f aca="false">IF(Empleados!$A$12="",0,INDEX(Bonificaciones!$B$12:$M$12,Configuracion!$C$14)*Configuracion!$C$14)</f>
        <v>0</v>
      </c>
      <c r="F14" s="28" t="n">
        <f aca="false">D14+E14</f>
        <v>0</v>
      </c>
      <c r="G14" s="28" t="n">
        <f aca="false">F14*(Configuracion!$C$9+Configuracion!$C$10)</f>
        <v>0</v>
      </c>
      <c r="H14" s="28" t="n">
        <f aca="false">F14-G14</f>
        <v>0</v>
      </c>
    </row>
    <row r="15" customFormat="false" ht="15" hidden="false" customHeight="false" outlineLevel="0" collapsed="false">
      <c r="B15" s="24" t="str">
        <f aca="false">IF(Empleados!$A$13="","",Empleados!$B$13)</f>
        <v/>
      </c>
      <c r="C15" s="24" t="str">
        <f aca="false">IF(Empleados!$A$13="","",Empleados!$C$13)</f>
        <v/>
      </c>
      <c r="D15" s="28" t="n">
        <f aca="false">IF(Empleados!$A$13="",0,Empleados!$E$13*Configuracion!$C$14)</f>
        <v>0</v>
      </c>
      <c r="E15" s="28" t="n">
        <f aca="false">IF(Empleados!$A$13="",0,INDEX(Bonificaciones!$B$13:$M$13,Configuracion!$C$14)*Configuracion!$C$14)</f>
        <v>0</v>
      </c>
      <c r="F15" s="28" t="n">
        <f aca="false">D15+E15</f>
        <v>0</v>
      </c>
      <c r="G15" s="28" t="n">
        <f aca="false">F15*(Configuracion!$C$9+Configuracion!$C$10)</f>
        <v>0</v>
      </c>
      <c r="H15" s="28" t="n">
        <f aca="false">F15-G15</f>
        <v>0</v>
      </c>
    </row>
    <row r="16" customFormat="false" ht="15" hidden="false" customHeight="false" outlineLevel="0" collapsed="false">
      <c r="B16" s="24" t="str">
        <f aca="false">IF(Empleados!$A$14="","",Empleados!$B$14)</f>
        <v/>
      </c>
      <c r="C16" s="24" t="str">
        <f aca="false">IF(Empleados!$A$14="","",Empleados!$C$14)</f>
        <v/>
      </c>
      <c r="D16" s="28" t="n">
        <f aca="false">IF(Empleados!$A$14="",0,Empleados!$E$14*Configuracion!$C$14)</f>
        <v>0</v>
      </c>
      <c r="E16" s="28" t="n">
        <f aca="false">IF(Empleados!$A$14="",0,INDEX(Bonificaciones!$B$14:$M$14,Configuracion!$C$14)*Configuracion!$C$14)</f>
        <v>0</v>
      </c>
      <c r="F16" s="28" t="n">
        <f aca="false">D16+E16</f>
        <v>0</v>
      </c>
      <c r="G16" s="28" t="n">
        <f aca="false">F16*(Configuracion!$C$9+Configuracion!$C$10)</f>
        <v>0</v>
      </c>
      <c r="H16" s="28" t="n">
        <f aca="false">F16-G16</f>
        <v>0</v>
      </c>
    </row>
    <row r="17" customFormat="false" ht="15" hidden="false" customHeight="false" outlineLevel="0" collapsed="false">
      <c r="B17" s="29" t="s">
        <v>108</v>
      </c>
      <c r="C17" s="30"/>
      <c r="D17" s="31" t="n">
        <f aca="false">SUM(D7:D16)</f>
        <v>7600</v>
      </c>
      <c r="E17" s="31" t="n">
        <f aca="false">SUM(E7:E16)</f>
        <v>350</v>
      </c>
      <c r="F17" s="31" t="n">
        <f aca="false">SUM(F7:F16)</f>
        <v>7950</v>
      </c>
      <c r="G17" s="31" t="n">
        <f aca="false">SUM(G7:G16)</f>
        <v>1669.5</v>
      </c>
      <c r="H17" s="31" t="n">
        <f aca="false">SUM(H7:H16)</f>
        <v>6280.5</v>
      </c>
    </row>
    <row r="18" customFormat="false" ht="15" hidden="false" customHeight="false" outlineLevel="0" collapsed="false">
      <c r="B18" s="11" t="s">
        <v>109</v>
      </c>
      <c r="D18" s="32" t="n">
        <f aca="false">COUNTIF(Empleados!$A$5:$A$14,"&lt;&gt;")</f>
        <v>5</v>
      </c>
    </row>
    <row r="21" customFormat="false" ht="19.5" hidden="false" customHeight="true" outlineLevel="0" collapsed="false">
      <c r="B21" s="27" t="s">
        <v>110</v>
      </c>
      <c r="C21" s="27"/>
      <c r="D21" s="27"/>
      <c r="E21" s="27"/>
    </row>
    <row r="22" customFormat="false" ht="18" hidden="false" customHeight="true" outlineLevel="0" collapsed="false">
      <c r="B22" s="10" t="s">
        <v>111</v>
      </c>
      <c r="C22" s="10" t="s">
        <v>112</v>
      </c>
      <c r="D22" s="10" t="s">
        <v>106</v>
      </c>
      <c r="E22" s="10" t="s">
        <v>113</v>
      </c>
    </row>
    <row r="23" customFormat="false" ht="15" hidden="false" customHeight="false" outlineLevel="0" collapsed="false">
      <c r="B23" s="24" t="s">
        <v>54</v>
      </c>
      <c r="C23" s="28" t="n">
        <f aca="false">(SUM(Empleados!$E$5:$E$14)+SUM(Bonificaciones!B$5:B$14))*Configuracion!$C$14</f>
        <v>7950</v>
      </c>
      <c r="D23" s="28" t="n">
        <f aca="false">C23*(Configuracion!$C$9+Configuracion!$C$10)</f>
        <v>1669.5</v>
      </c>
      <c r="E23" s="28" t="n">
        <f aca="false">C23-D23</f>
        <v>6280.5</v>
      </c>
    </row>
    <row r="24" customFormat="false" ht="15" hidden="false" customHeight="false" outlineLevel="0" collapsed="false">
      <c r="B24" s="24" t="s">
        <v>114</v>
      </c>
      <c r="C24" s="28" t="n">
        <f aca="false">(SUM(Empleados!$E$5:$E$14)+SUM(Bonificaciones!C$5:C$14))*Configuracion!$C$14</f>
        <v>7920</v>
      </c>
      <c r="D24" s="28" t="n">
        <f aca="false">C24*(Configuracion!$C$9+Configuracion!$C$10)</f>
        <v>1663.2</v>
      </c>
      <c r="E24" s="28" t="n">
        <f aca="false">C24-D24</f>
        <v>6256.8</v>
      </c>
    </row>
    <row r="25" customFormat="false" ht="15" hidden="false" customHeight="false" outlineLevel="0" collapsed="false">
      <c r="B25" s="24" t="s">
        <v>115</v>
      </c>
      <c r="C25" s="28" t="n">
        <f aca="false">(SUM(Empleados!$E$5:$E$14)+SUM(Bonificaciones!D$5:D$14))*Configuracion!$C$14</f>
        <v>8180</v>
      </c>
      <c r="D25" s="28" t="n">
        <f aca="false">C25*(Configuracion!$C$9+Configuracion!$C$10)</f>
        <v>1717.8</v>
      </c>
      <c r="E25" s="28" t="n">
        <f aca="false">C25-D25</f>
        <v>6462.2</v>
      </c>
    </row>
    <row r="26" customFormat="false" ht="15" hidden="false" customHeight="false" outlineLevel="0" collapsed="false">
      <c r="B26" s="24" t="s">
        <v>116</v>
      </c>
      <c r="C26" s="28" t="n">
        <f aca="false">(SUM(Empleados!$E$5:$E$14)+SUM(Bonificaciones!E$5:E$14))*Configuracion!$C$14</f>
        <v>7600</v>
      </c>
      <c r="D26" s="28" t="n">
        <f aca="false">C26*(Configuracion!$C$9+Configuracion!$C$10)</f>
        <v>1596</v>
      </c>
      <c r="E26" s="28" t="n">
        <f aca="false">C26-D26</f>
        <v>6004</v>
      </c>
    </row>
    <row r="27" customFormat="false" ht="15" hidden="false" customHeight="false" outlineLevel="0" collapsed="false">
      <c r="B27" s="24" t="s">
        <v>117</v>
      </c>
      <c r="C27" s="28" t="n">
        <f aca="false">(SUM(Empleados!$E$5:$E$14)+SUM(Bonificaciones!F$5:F$14))*Configuracion!$C$14</f>
        <v>7600</v>
      </c>
      <c r="D27" s="28" t="n">
        <f aca="false">C27*(Configuracion!$C$9+Configuracion!$C$10)</f>
        <v>1596</v>
      </c>
      <c r="E27" s="28" t="n">
        <f aca="false">C27-D27</f>
        <v>6004</v>
      </c>
    </row>
    <row r="28" customFormat="false" ht="15" hidden="false" customHeight="false" outlineLevel="0" collapsed="false">
      <c r="B28" s="24" t="s">
        <v>118</v>
      </c>
      <c r="C28" s="28" t="n">
        <f aca="false">(SUM(Empleados!$E$5:$E$14)+SUM(Bonificaciones!G$5:G$14))*Configuracion!$C$14</f>
        <v>7800</v>
      </c>
      <c r="D28" s="28" t="n">
        <f aca="false">C28*(Configuracion!$C$9+Configuracion!$C$10)</f>
        <v>1638</v>
      </c>
      <c r="E28" s="28" t="n">
        <f aca="false">C28-D28</f>
        <v>6162</v>
      </c>
    </row>
    <row r="29" customFormat="false" ht="15" hidden="false" customHeight="false" outlineLevel="0" collapsed="false">
      <c r="B29" s="24" t="s">
        <v>119</v>
      </c>
      <c r="C29" s="28" t="n">
        <f aca="false">(SUM(Empleados!$E$5:$E$14)+SUM(Bonificaciones!H$5:H$14))*Configuracion!$C$14</f>
        <v>7600</v>
      </c>
      <c r="D29" s="28" t="n">
        <f aca="false">C29*(Configuracion!$C$9+Configuracion!$C$10)</f>
        <v>1596</v>
      </c>
      <c r="E29" s="28" t="n">
        <f aca="false">C29-D29</f>
        <v>6004</v>
      </c>
    </row>
    <row r="30" customFormat="false" ht="15" hidden="false" customHeight="false" outlineLevel="0" collapsed="false">
      <c r="B30" s="24" t="s">
        <v>120</v>
      </c>
      <c r="C30" s="28" t="n">
        <f aca="false">(SUM(Empleados!$E$5:$E$14)+SUM(Bonificaciones!I$5:I$14))*Configuracion!$C$14</f>
        <v>7600</v>
      </c>
      <c r="D30" s="28" t="n">
        <f aca="false">C30*(Configuracion!$C$9+Configuracion!$C$10)</f>
        <v>1596</v>
      </c>
      <c r="E30" s="28" t="n">
        <f aca="false">C30-D30</f>
        <v>6004</v>
      </c>
    </row>
    <row r="31" customFormat="false" ht="15" hidden="false" customHeight="false" outlineLevel="0" collapsed="false">
      <c r="B31" s="24" t="s">
        <v>121</v>
      </c>
      <c r="C31" s="28" t="n">
        <f aca="false">(SUM(Empleados!$E$5:$E$14)+SUM(Bonificaciones!J$5:J$14))*Configuracion!$C$14</f>
        <v>8000</v>
      </c>
      <c r="D31" s="28" t="n">
        <f aca="false">C31*(Configuracion!$C$9+Configuracion!$C$10)</f>
        <v>1680</v>
      </c>
      <c r="E31" s="28" t="n">
        <f aca="false">C31-D31</f>
        <v>6320</v>
      </c>
    </row>
    <row r="32" customFormat="false" ht="15" hidden="false" customHeight="false" outlineLevel="0" collapsed="false">
      <c r="B32" s="24" t="s">
        <v>122</v>
      </c>
      <c r="C32" s="28" t="n">
        <f aca="false">(SUM(Empleados!$E$5:$E$14)+SUM(Bonificaciones!K$5:K$14))*Configuracion!$C$14</f>
        <v>7600</v>
      </c>
      <c r="D32" s="28" t="n">
        <f aca="false">C32*(Configuracion!$C$9+Configuracion!$C$10)</f>
        <v>1596</v>
      </c>
      <c r="E32" s="28" t="n">
        <f aca="false">C32-D32</f>
        <v>6004</v>
      </c>
    </row>
    <row r="33" customFormat="false" ht="15" hidden="false" customHeight="false" outlineLevel="0" collapsed="false">
      <c r="B33" s="24" t="s">
        <v>123</v>
      </c>
      <c r="C33" s="28" t="n">
        <f aca="false">(SUM(Empleados!$E$5:$E$14)+SUM(Bonificaciones!L$5:L$14))*Configuracion!$C$14</f>
        <v>7600</v>
      </c>
      <c r="D33" s="28" t="n">
        <f aca="false">C33*(Configuracion!$C$9+Configuracion!$C$10)</f>
        <v>1596</v>
      </c>
      <c r="E33" s="28" t="n">
        <f aca="false">C33-D33</f>
        <v>6004</v>
      </c>
    </row>
    <row r="34" customFormat="false" ht="15" hidden="false" customHeight="false" outlineLevel="0" collapsed="false">
      <c r="B34" s="24" t="s">
        <v>124</v>
      </c>
      <c r="C34" s="28" t="n">
        <f aca="false">(SUM(Empleados!$E$5:$E$14)+SUM(Bonificaciones!M$5:M$14))*Configuracion!$C$14</f>
        <v>8950</v>
      </c>
      <c r="D34" s="28" t="n">
        <f aca="false">C34*(Configuracion!$C$9+Configuracion!$C$10)</f>
        <v>1879.5</v>
      </c>
      <c r="E34" s="28" t="n">
        <f aca="false">C34-D34</f>
        <v>7070.5</v>
      </c>
    </row>
  </sheetData>
  <sheetProtection sheet="true" password="ee36" formatCells="false" formatColumns="false" formatRows="false" insertRows="false" selectLockedCells="true" selectUnlockedCells="true"/>
  <mergeCells count="4">
    <mergeCell ref="B2:H2"/>
    <mergeCell ref="B3:H3"/>
    <mergeCell ref="B5:H5"/>
    <mergeCell ref="B21:E21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8" min="2" style="0" width="16"/>
    <col collapsed="false" customWidth="true" hidden="false" outlineLevel="0" max="9" min="9" style="0" width="3"/>
  </cols>
  <sheetData>
    <row r="2" customFormat="false" ht="27.75" hidden="false" customHeight="true" outlineLevel="0" collapsed="false">
      <c r="B2" s="8" t="s">
        <v>125</v>
      </c>
      <c r="C2" s="8"/>
      <c r="D2" s="8"/>
      <c r="E2" s="8"/>
      <c r="F2" s="8"/>
      <c r="G2" s="8"/>
      <c r="H2" s="8"/>
    </row>
    <row r="3" customFormat="false" ht="15" hidden="false" customHeight="false" outlineLevel="0" collapsed="false">
      <c r="B3" s="7" t="str">
        <f aca="false">" Mes: " &amp; Configuracion!$C$11 &amp; "   |   Moneda: " &amp; Configuracion!$C$8</f>
        <v> Mes: Enero   |   Moneda: Local</v>
      </c>
      <c r="C3" s="7"/>
      <c r="D3" s="7"/>
      <c r="E3" s="7"/>
      <c r="F3" s="7"/>
      <c r="G3" s="7"/>
      <c r="H3" s="7"/>
    </row>
    <row r="5" customFormat="false" ht="18" hidden="false" customHeight="true" outlineLevel="0" collapsed="false">
      <c r="B5" s="33" t="s">
        <v>126</v>
      </c>
      <c r="C5" s="33"/>
      <c r="D5" s="34" t="s">
        <v>127</v>
      </c>
      <c r="E5" s="34"/>
      <c r="F5" s="35" t="s">
        <v>128</v>
      </c>
      <c r="G5" s="35"/>
      <c r="H5" s="36" t="s">
        <v>129</v>
      </c>
      <c r="I5" s="36"/>
    </row>
    <row r="6" customFormat="false" ht="21.75" hidden="false" customHeight="true" outlineLevel="0" collapsed="false">
      <c r="B6" s="37" t="str">
        <f aca="false">Configuracion!$C$15&amp;" "&amp;TEXT(Resumen!F17,"#,##0.00")</f>
        <v>S/ 7,950.00</v>
      </c>
      <c r="C6" s="37"/>
      <c r="D6" s="38" t="str">
        <f aca="false">Configuracion!$C$15&amp;" "&amp;TEXT(Resumen!G17,"#,##0.00")</f>
        <v>S/ 1,669.50</v>
      </c>
      <c r="E6" s="38"/>
      <c r="F6" s="39" t="str">
        <f aca="false">Configuracion!$C$15&amp;" "&amp;TEXT(Resumen!H17,"#,##0.00")</f>
        <v>S/ 6,280.50</v>
      </c>
      <c r="G6" s="39"/>
      <c r="H6" s="40" t="n">
        <f aca="false">Resumen!D18</f>
        <v>5</v>
      </c>
      <c r="I6" s="40"/>
    </row>
    <row r="7" customFormat="false" ht="21.75" hidden="false" customHeight="true" outlineLevel="0" collapsed="false">
      <c r="B7" s="37"/>
      <c r="C7" s="37"/>
      <c r="D7" s="38"/>
      <c r="E7" s="38"/>
      <c r="F7" s="39"/>
      <c r="G7" s="39"/>
      <c r="H7" s="40"/>
      <c r="I7" s="40"/>
    </row>
  </sheetData>
  <sheetProtection sheet="true" password="ee36" formatCells="false" formatColumns="false" formatRows="false" insertRows="false" selectLockedCells="true" selectUnlockedCells="true"/>
  <mergeCells count="10">
    <mergeCell ref="B2:H2"/>
    <mergeCell ref="B3:H3"/>
    <mergeCell ref="B5:C5"/>
    <mergeCell ref="D5:E5"/>
    <mergeCell ref="F5:G5"/>
    <mergeCell ref="H5:I5"/>
    <mergeCell ref="B6:C7"/>
    <mergeCell ref="D6:E7"/>
    <mergeCell ref="F6:G7"/>
    <mergeCell ref="H6:I7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2026-09-18T05:36:58Z</dcterms:created>
  <dc:creator>openpyxl</dc:creator>
  <dc:description/>
  <dc:language>en-US</dc:language>
  <cp:lastModifiedBy/>
  <dcterms:modified xsi:type="dcterms:W3CDTF">2026-09-18T05:37:05Z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