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rtada" sheetId="1" state="visible" r:id="rId3"/>
    <sheet name="Instrucciones" sheetId="2" state="visible" r:id="rId4"/>
    <sheet name="Configuracion" sheetId="3" state="visible" r:id="rId5"/>
    <sheet name="Categorias" sheetId="4" state="visible" r:id="rId6"/>
    <sheet name="Transacciones" sheetId="5" state="visible" r:id="rId7"/>
    <sheet name="Resumen" sheetId="6" state="visible" r:id="rId8"/>
    <sheet name="Dashboard" sheetId="7" state="visible" r:id="rId9"/>
  </sheets>
  <definedNames>
    <definedName function="false" hidden="false" name="FactorConversion" vbProcedure="false">Configuracion!$C$12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<sst xmlns="http://schemas.openxmlformats.org/spreadsheetml/2006/main" count="199" uniqueCount="133">
  <si>
    <t xml:space="preserve">LÍNEA DE PRODUCTOS DIGITALES · PLANTILLAS EXCEL</t>
  </si>
  <si>
    <t xml:space="preserve">CONTROL DE GASTOS PERSONALES</t>
  </si>
  <si>
    <t xml:space="preserve">Plantilla profesional para registrar tus ingresos y gastos, visualizar tu balance mensual y controlar tus finanzas personales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</si>
  <si>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</si>
  <si>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</si>
  <si>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</si>
  <si>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pastel, barras y tendencia mensual</t>
  </si>
  <si>
    <t xml:space="preserve">✔  Resumen dinámico tipo tabla dinámica por categoría y por mes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</si>
  <si>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</si>
  <si>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</si>
  <si>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</si>
  <si>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</si>
  <si>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profesional, listo para usar</t>
  </si>
  <si>
    <t xml:space="preserve">✔  Ejemplos precargados para que veas cómo funciona</t>
  </si>
  <si>
    <t xml:space="preserve">Producto digital · Precio orientativo: $6.99 USD  |  Licencia de uso personal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</si>
  <si>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</si>
  <si>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</si>
  <si>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</si>
  <si>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Ve a la hoja 'Configuración' y define el símbolo de tu moneda local, su nombre y el tipo de cambio frente al USD. Ahí mismo eliges si el resto de la plantilla se muestra en moneda LOCAL o en USD.</t>
  </si>
  <si>
    <t xml:space="preserve">2. Categorías</t>
  </si>
  <si>
    <t xml:space="preserve">En la hoja 'Categorías' puedes revisar o editar la lista de categorías de ingreso/gasto y los métodos de pago que aparecen como listas desplegables en 'Transacciones'.</t>
  </si>
  <si>
    <t xml:space="preserve">3. Registrar movimientos</t>
  </si>
  <si>
    <t xml:space="preserve">En la hoja 'Transacciones' registra cada ingreso o gasto: fecha, categoría (lista desplegable), tipo, descripción, método de pago (lista desplegable) y monto en tu moneda local. La columna 'Monto en moneda seleccionada' se calcula sola.</t>
  </si>
  <si>
    <t xml:space="preserve">4. Resumen automático</t>
  </si>
  <si>
    <t xml:space="preserve">La hoja 'Resumen' agrupa automáticamente tus movimientos por categoría y por mes, como una tabla dinámica, sin que tengas que hacer nada manualmente.</t>
  </si>
  <si>
    <t xml:space="preserve">5. Dashboard</t>
  </si>
  <si>
    <t xml:space="preserve">La hoja 'Dashboard' muestra tus indicadores clave (ingresos, gastos, balance, tasa de ahorro) y tres gráficos que se actualizan solos cada vez que agregas movimientos.</t>
  </si>
  <si>
    <t xml:space="preserve">6. Cambiar de moneda</t>
  </si>
  <si>
    <t xml:space="preserve">En cualquier momento cambia la celda 'Moneda de visualización' en 'Configuración' entre LOCAL y USD: Transacciones, Resumen y Dashboard se recalculan automáticamente al nuevo tipo de cambio.</t>
  </si>
  <si>
    <t xml:space="preserve">7. Celdas protegidas</t>
  </si>
  <si>
    <t xml:space="preserve">Las hojas están protegidas para que no borres fórmulas por accidente. Solo puedes escribir en las celdas resaltadas en color crema / texto azul. Si necesitas editar otra celda, ve a Revisar → Desproteger hoja (no pide contraseña).</t>
  </si>
  <si>
    <t xml:space="preserve">8. Agregar más filas</t>
  </si>
  <si>
    <t xml:space="preserve">Si necesitas más de 200 movimientos, selecciona una fila dentro de la tabla de 'Transacciones', copia el formato hacia abajo y continúa registrando: las fórmulas de conversión ya están preparadas en ese rango.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</si>
  <si>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</si>
  <si>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</si>
  <si>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</si>
  <si>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</si>
  <si>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</si>
  <si>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</si>
  <si>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</si>
  <si>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</si>
  <si>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</si>
  <si>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</si>
  <si>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</si>
  <si>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</si>
  <si>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 Edítalo cuando cambie.</t>
  </si>
  <si>
    <t xml:space="preserve">Moneda de visualización</t>
  </si>
  <si>
    <t xml:space="preserve">Local</t>
  </si>
  <si>
    <t xml:space="preserve">Elige LOCAL o USD en la lista desplegable. Afecta Transacciones, Resumen y Dashboard.</t>
  </si>
  <si>
    <t xml:space="preserve">Año de análisis</t>
  </si>
  <si>
    <t xml:space="preserve">Año que se usa para agrupar el Resumen Mensual.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</si>
  <si>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</si>
  <si>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</si>
  <si>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</si>
  <si>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</si>
  <si>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</si>
  <si>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</si>
  <si>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CATEGORÍAS Y MÉTODOS DE PAGO</t>
  </si>
  <si>
    <t xml:space="preserve">Categoría (ingreso/gasto)</t>
  </si>
  <si>
    <t xml:space="preserve">Método de pago</t>
  </si>
  <si>
    <t xml:space="preserve">Salario</t>
  </si>
  <si>
    <t xml:space="preserve">Efectivo</t>
  </si>
  <si>
    <t xml:space="preserve">Freelance / Ingresos extra</t>
  </si>
  <si>
    <t xml:space="preserve">Tarjeta de débito</t>
  </si>
  <si>
    <t xml:space="preserve">Otros ingresos</t>
  </si>
  <si>
    <t xml:space="preserve">Tarjeta de crédito</t>
  </si>
  <si>
    <t xml:space="preserve">Vivienda (alquiler/hipoteca)</t>
  </si>
  <si>
    <t xml:space="preserve">Transferencia bancaria</t>
  </si>
  <si>
    <t xml:space="preserve">Alimentación</t>
  </si>
  <si>
    <t xml:space="preserve">Transporte</t>
  </si>
  <si>
    <t xml:space="preserve">Servicios (luz, agua, internet)</t>
  </si>
  <si>
    <t xml:space="preserve">Salud</t>
  </si>
  <si>
    <t xml:space="preserve">Educación</t>
  </si>
  <si>
    <t xml:space="preserve">Entretenimiento</t>
  </si>
  <si>
    <t xml:space="preserve">Ropa y cuidado personal</t>
  </si>
  <si>
    <t xml:space="preserve">Ahorro e inversión</t>
  </si>
  <si>
    <t xml:space="preserve">Deudas y préstamos</t>
  </si>
  <si>
    <t xml:space="preserve">Otros gastos</t>
  </si>
  <si>
    <t xml:space="preserve">Puedes renombrar o agregar categorías/métodos aquí; las listas desplegables de 'Transacciones' se actualizan solas.</t>
  </si>
  <si>
    <t xml:space="preserve">REGISTRO DE INGRESOS Y GASTOS</t>
  </si>
  <si>
    <t xml:space="preserve">Completa las columnas A a F para cada movimiento. La columna G se calcula automáticamente.</t>
  </si>
  <si>
    <t xml:space="preserve">Fecha</t>
  </si>
  <si>
    <t xml:space="preserve">Categoría</t>
  </si>
  <si>
    <t xml:space="preserve">Tipo</t>
  </si>
  <si>
    <t xml:space="preserve">Descripción</t>
  </si>
  <si>
    <t xml:space="preserve">Monto (moneda local)</t>
  </si>
  <si>
    <t xml:space="preserve">Monto (moneda seleccionada)</t>
  </si>
  <si>
    <t xml:space="preserve">Ingreso</t>
  </si>
  <si>
    <t xml:space="preserve">Sueldo mensual</t>
  </si>
  <si>
    <t xml:space="preserve">Gasto</t>
  </si>
  <si>
    <t xml:space="preserve">Alquiler de enero</t>
  </si>
  <si>
    <t xml:space="preserve">Supermercado semanal</t>
  </si>
  <si>
    <t xml:space="preserve">Gasolina</t>
  </si>
  <si>
    <t xml:space="preserve">Recibo de electricidad</t>
  </si>
  <si>
    <t xml:space="preserve">Proyecto de diseño</t>
  </si>
  <si>
    <t xml:space="preserve">Cine y cena</t>
  </si>
  <si>
    <t xml:space="preserve">Consulta médica</t>
  </si>
  <si>
    <t xml:space="preserve">Aporte a fondo de ahorro</t>
  </si>
  <si>
    <t xml:space="preserve">Alquiler de febrero</t>
  </si>
  <si>
    <t xml:space="preserve">Mantenimiento de auto</t>
  </si>
  <si>
    <t xml:space="preserve">Suscripciones streaming</t>
  </si>
  <si>
    <t xml:space="preserve">Curso en línea</t>
  </si>
  <si>
    <t xml:space="preserve">Venta de artículo usado</t>
  </si>
  <si>
    <t xml:space="preserve">Alquiler de marzo</t>
  </si>
  <si>
    <t xml:space="preserve">Cuota de préstamo</t>
  </si>
  <si>
    <t xml:space="preserve">RESUMEN DINÁMICO (se actualiza solo)</t>
  </si>
  <si>
    <t xml:space="preserve">Tablas de resumen automáticas por categoría y por mes, equivalentes a una tabla dinámica, calculadas con fórmulas.</t>
  </si>
  <si>
    <t xml:space="preserve">RESUMEN POR CATEGORÍA</t>
  </si>
  <si>
    <t xml:space="preserve">Ingresos</t>
  </si>
  <si>
    <t xml:space="preserve">Gastos</t>
  </si>
  <si>
    <t xml:space="preserve">Neto</t>
  </si>
  <si>
    <t xml:space="preserve">TOTAL</t>
  </si>
  <si>
    <t xml:space="preserve">RESUMEN MENSUAL</t>
  </si>
  <si>
    <t xml:space="preserve">Mes</t>
  </si>
  <si>
    <t xml:space="preserve">Ahorro neto</t>
  </si>
  <si>
    <t xml:space="preserve">% Ahorro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</si>
  <si>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</si>
  <si>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</si>
  <si>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</si>
  <si>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</si>
  <si>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</si>
  <si>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</si>
  <si>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</si>
  <si>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</si>
  <si>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</si>
  <si>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</si>
  <si>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</si>
  <si>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</si>
  <si>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DASHBOARD · CONTROL DE GASTOS PERSONALES</t>
  </si>
  <si>
    <t xml:space="preserve">TOTAL INGRESOS</t>
  </si>
  <si>
    <t xml:space="preserve">TOTAL GASTOS</t>
  </si>
  <si>
    <t xml:space="preserve">BALANCE NETO</t>
  </si>
  <si>
    <t xml:space="preserve">TASA DE AHORRO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</si>
</sst>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dd/mm/yyyy"/>
    <numFmt numFmtId="167" formatCode="#,##0.0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B23B3B"/>
        <bgColor rgb="FFAB4744"/>
      </patternFill>
    </fill>
    <fill>
      <patternFill patternType="solid">
        <fgColor rgb="FFC9A24B"/>
        <bgColor rgb="FFDC85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B23B3B"/>
      <rgbColor rgb="FFFFF6D9"/>
      <rgbColor rgb="FFF2F4F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2C3D5"/>
      <rgbColor rgb="FFD09493"/>
      <rgbColor rgb="FFCC99FF"/>
      <rgbColor rgb="FFFFCC99"/>
      <rgbColor rgb="FF4A7EBB"/>
      <rgbColor rgb="FF4299B0"/>
      <rgbColor rgb="FF99CC00"/>
      <rgbColor rgb="FFFFCC00"/>
      <rgbColor rgb="FFC9A24B"/>
      <rgbColor rgb="FFFF6600"/>
      <rgbColor rgb="FF725990"/>
      <rgbColor rgb="FFA99BBD"/>
      <rgbColor rgb="FF003366"/>
      <rgbColor rgb="FF2CA58D"/>
      <rgbColor rgb="FF003300"/>
      <rgbColor rgb="FF1A1A1A"/>
      <rgbColor rgb="FFC0504D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Resumen!$B$10:$B$20</c:f>
              <c:strCache>
                <c:ptCount val="11"/>
                <c:pt idx="0">
                  <c:v>Vivienda (alquiler/hipoteca)</c:v>
                </c:pt>
                <c:pt idx="1">
                  <c:v>Alimentación</c:v>
                </c:pt>
                <c:pt idx="2">
                  <c:v>Transporte</c:v>
                </c:pt>
                <c:pt idx="3">
                  <c:v>Servicios (luz, agua, internet)</c:v>
                </c:pt>
                <c:pt idx="4">
                  <c:v>Salud</c:v>
                </c:pt>
                <c:pt idx="5">
                  <c:v>Educación</c:v>
                </c:pt>
                <c:pt idx="6">
                  <c:v>Entretenimiento</c:v>
                </c:pt>
                <c:pt idx="7">
                  <c:v>Ropa y cuidado personal</c:v>
                </c:pt>
                <c:pt idx="8">
                  <c:v>Ahorro e inversión</c:v>
                </c:pt>
                <c:pt idx="9">
                  <c:v>Deudas y préstamos</c:v>
                </c:pt>
                <c:pt idx="10">
                  <c:v>Otros gastos</c:v>
                </c:pt>
              </c:strCache>
            </c:strRef>
          </c:cat>
          <c:val>
            <c:numRef>
              <c:f>Resumen!$D$10:$D$20</c:f>
              <c:numCache>
                <c:formatCode>#,##0.00</c:formatCode>
                <c:ptCount val="11"/>
                <c:pt idx="0">
                  <c:v>3600</c:v>
                </c:pt>
                <c:pt idx="1">
                  <c:v>585</c:v>
                </c:pt>
                <c:pt idx="2">
                  <c:v>180</c:v>
                </c:pt>
                <c:pt idx="3">
                  <c:v>75</c:v>
                </c:pt>
                <c:pt idx="4">
                  <c:v>90</c:v>
                </c:pt>
                <c:pt idx="5">
                  <c:v>80</c:v>
                </c:pt>
                <c:pt idx="6">
                  <c:v>70</c:v>
                </c:pt>
                <c:pt idx="7">
                  <c:v>0</c:v>
                </c:pt>
                <c:pt idx="8">
                  <c:v>300</c:v>
                </c:pt>
                <c:pt idx="9">
                  <c:v>250</c:v>
                </c:pt>
                <c:pt idx="10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vs. Gastos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Resumen!C25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Resumen!$C$26:$C$37</c:f>
              <c:numCache>
                <c:formatCode>#,##0.00</c:formatCode>
                <c:ptCount val="12"/>
                <c:pt idx="0">
                  <c:v>4850</c:v>
                </c:pt>
                <c:pt idx="1">
                  <c:v>4650</c:v>
                </c:pt>
                <c:pt idx="2">
                  <c:v>4600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Resumen!D25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Resumen!$D$26:$D$37</c:f>
              <c:numCache>
                <c:formatCode>#,##0.00</c:formatCode>
                <c:ptCount val="12"/>
                <c:pt idx="0">
                  <c:v>1950</c:v>
                </c:pt>
                <c:pt idx="1">
                  <c:v>1635</c:v>
                </c:pt>
                <c:pt idx="2">
                  <c:v>1645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7238555"/>
        <c:axId val="41613821"/>
      </c:barChart>
      <c:catAx>
        <c:axId val="47238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13821"/>
        <c:crosses val="autoZero"/>
        <c:auto val="1"/>
        <c:lblAlgn val="ctr"/>
        <c:lblOffset val="100"/>
        <c:noMultiLvlLbl val="0"/>
      </c:catAx>
      <c:valAx>
        <c:axId val="41613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38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de ahorro neto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Resumen!E25</c:f>
              <c:strCache>
                <c:ptCount val="1"/>
                <c:pt idx="0">
                  <c:v>Ahorro neto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Resumen!$E$26:$E$37</c:f>
              <c:numCache>
                <c:formatCode>#,##0.00</c:formatCode>
                <c:ptCount val="12"/>
                <c:pt idx="0">
                  <c:v>2900</c:v>
                </c:pt>
                <c:pt idx="1">
                  <c:v>3015</c:v>
                </c:pt>
                <c:pt idx="2">
                  <c:v>2955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05664"/>
        <c:axId val="40713529"/>
      </c:lineChart>
      <c:catAx>
        <c:axId val="798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13529"/>
        <c:crosses val="autoZero"/>
        <c:auto val="1"/>
        <c:lblAlgn val="ctr"/>
        <c:lblOffset val="100"/>
        <c:noMultiLvlLbl val="0"/>
      </c:catAx>
      <c:valAx>
        <c:axId val="40713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5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8" hidden="false" customHeight="true" outlineLevel="0" collapsed="false">
      <c r="B25" s="4" t="s">
        <v>31</v>
      </c>
      <c r="C25" s="4"/>
    </row>
    <row r="26" customFormat="false" ht="42" hidden="false" customHeight="true" outlineLevel="0" collapsed="false">
      <c r="B26" s="9" t="s">
        <v>32</v>
      </c>
      <c r="C26" s="9"/>
    </row>
    <row r="28" customFormat="false" ht="15" hidden="false" customHeight="false" outlineLevel="0" collapsed="false">
      <c r="B28" s="7" t="s">
        <v>33</v>
      </c>
      <c r="C28" s="7"/>
    </row>
  </sheetData>
  <sheetProtection sheet="true" formatCells="false" formatColumns="false" formatRows="false" insertRows="false" selectLockedCells="true" selectUnlockedCells="true"/>
  <mergeCells count="18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34</v>
      </c>
      <c r="C2" s="8"/>
      <c r="D2" s="8"/>
    </row>
    <row r="4" customFormat="false" ht="21.75" hidden="false" customHeight="true" outlineLevel="0" collapsed="false">
      <c r="B4" s="10" t="s">
        <v>35</v>
      </c>
      <c r="C4" s="10" t="s">
        <v>36</v>
      </c>
      <c r="D4" s="10" t="s">
        <v>37</v>
      </c>
    </row>
    <row r="5" customFormat="false" ht="18" hidden="false" customHeight="true" outlineLevel="0" collapsed="false">
      <c r="B5" s="11" t="s">
        <v>38</v>
      </c>
      <c r="C5" s="12" t="s">
        <v>39</v>
      </c>
      <c r="D5" s="13" t="s">
        <v>40</v>
      </c>
    </row>
    <row r="6" customFormat="false" ht="18" hidden="false" customHeight="true" outlineLevel="0" collapsed="false">
      <c r="B6" s="11" t="s">
        <v>41</v>
      </c>
      <c r="C6" s="12" t="s">
        <v>42</v>
      </c>
      <c r="D6" s="13" t="s">
        <v>43</v>
      </c>
    </row>
    <row r="7" customFormat="false" ht="18" hidden="false" customHeight="true" outlineLevel="0" collapsed="false">
      <c r="B7" s="11" t="s">
        <v>44</v>
      </c>
      <c r="C7" s="12" t="n">
        <v>3.75</v>
      </c>
      <c r="D7" s="13" t="s">
        <v>45</v>
      </c>
    </row>
    <row r="8" customFormat="false" ht="18" hidden="false" customHeight="true" outlineLevel="0" collapsed="false">
      <c r="B8" s="11" t="s">
        <v>46</v>
      </c>
      <c r="C8" s="12" t="s">
        <v>47</v>
      </c>
      <c r="D8" s="13" t="s">
        <v>48</v>
      </c>
    </row>
    <row r="9" customFormat="false" ht="18" hidden="false" customHeight="true" outlineLevel="0" collapsed="false">
      <c r="B9" s="11" t="s">
        <v>49</v>
      </c>
      <c r="C9" s="12" t="n">
        <v>2026</v>
      </c>
      <c r="D9" s="13" t="s">
        <v>50</v>
      </c>
    </row>
    <row r="11" customFormat="false" ht="18" hidden="false" customHeight="true" outlineLevel="0" collapsed="false">
      <c r="B11" s="14" t="s">
        <v>51</v>
      </c>
      <c r="C11" s="15"/>
      <c r="D11" s="15"/>
    </row>
    <row r="12" customFormat="false" ht="18" hidden="false" customHeight="true" outlineLevel="0" collapsed="false">
      <c r="B12" s="11" t="s">
        <v>52</v>
      </c>
      <c r="C12" s="16" t="n">
        <f aca="false">IF(C8="USD",1/C7,1)</f>
        <v>1</v>
      </c>
      <c r="D12" s="17" t="s">
        <v>53</v>
      </c>
    </row>
    <row r="13" customFormat="false" ht="18" hidden="false" customHeight="true" outlineLevel="0" collapsed="false">
      <c r="B13" s="11" t="s">
        <v>54</v>
      </c>
      <c r="C13" s="18" t="str">
        <f aca="false">IF(C8="USD","US$",C6)</f>
        <v>S/</v>
      </c>
      <c r="D13" s="17" t="s">
        <v>55</v>
      </c>
    </row>
    <row r="15" customFormat="false" ht="15" hidden="false" customHeight="true" outlineLevel="0" collapsed="false">
      <c r="B15" s="19" t="s">
        <v>56</v>
      </c>
      <c r="C15" s="19"/>
      <c r="D15" s="19"/>
    </row>
  </sheetData>
  <sheetProtection sheet="true" formatCells="false" formatColumns="false" formatRows="false" insertRows="false" selectLockedCells="true" selectUnlockedCells="true"/>
  <mergeCells count="2">
    <mergeCell ref="B2:D2"/>
    <mergeCell ref="B15:D15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57</v>
      </c>
      <c r="C2" s="8"/>
    </row>
    <row r="4" customFormat="false" ht="21.75" hidden="false" customHeight="true" outlineLevel="0" collapsed="false">
      <c r="B4" s="10" t="s">
        <v>58</v>
      </c>
      <c r="C4" s="10" t="s">
        <v>59</v>
      </c>
    </row>
    <row r="5" customFormat="false" ht="15.75" hidden="false" customHeight="true" outlineLevel="0" collapsed="false">
      <c r="B5" s="20" t="s">
        <v>60</v>
      </c>
      <c r="C5" s="20" t="s">
        <v>61</v>
      </c>
    </row>
    <row r="6" customFormat="false" ht="15.75" hidden="false" customHeight="true" outlineLevel="0" collapsed="false">
      <c r="B6" s="20" t="s">
        <v>62</v>
      </c>
      <c r="C6" s="20" t="s">
        <v>63</v>
      </c>
    </row>
    <row r="7" customFormat="false" ht="15.75" hidden="false" customHeight="true" outlineLevel="0" collapsed="false">
      <c r="B7" s="20" t="s">
        <v>64</v>
      </c>
      <c r="C7" s="20" t="s">
        <v>65</v>
      </c>
    </row>
    <row r="8" customFormat="false" ht="15.75" hidden="false" customHeight="true" outlineLevel="0" collapsed="false">
      <c r="B8" s="20" t="s">
        <v>66</v>
      </c>
      <c r="C8" s="20" t="s">
        <v>67</v>
      </c>
    </row>
    <row r="9" customFormat="false" ht="15.75" hidden="false" customHeight="true" outlineLevel="0" collapsed="false">
      <c r="B9" s="20" t="s">
        <v>68</v>
      </c>
      <c r="C9" s="21"/>
    </row>
    <row r="10" customFormat="false" ht="15.75" hidden="false" customHeight="true" outlineLevel="0" collapsed="false">
      <c r="B10" s="20" t="s">
        <v>69</v>
      </c>
      <c r="C10" s="21"/>
    </row>
    <row r="11" customFormat="false" ht="15.75" hidden="false" customHeight="true" outlineLevel="0" collapsed="false">
      <c r="B11" s="20" t="s">
        <v>70</v>
      </c>
      <c r="C11" s="21"/>
    </row>
    <row r="12" customFormat="false" ht="15.75" hidden="false" customHeight="true" outlineLevel="0" collapsed="false">
      <c r="B12" s="20" t="s">
        <v>71</v>
      </c>
      <c r="C12" s="21"/>
    </row>
    <row r="13" customFormat="false" ht="15.75" hidden="false" customHeight="true" outlineLevel="0" collapsed="false">
      <c r="B13" s="20" t="s">
        <v>72</v>
      </c>
      <c r="C13" s="21"/>
    </row>
    <row r="14" customFormat="false" ht="15.75" hidden="false" customHeight="true" outlineLevel="0" collapsed="false">
      <c r="B14" s="20" t="s">
        <v>73</v>
      </c>
      <c r="C14" s="21"/>
    </row>
    <row r="15" customFormat="false" ht="15.75" hidden="false" customHeight="true" outlineLevel="0" collapsed="false">
      <c r="B15" s="20" t="s">
        <v>74</v>
      </c>
      <c r="C15" s="21"/>
    </row>
    <row r="16" customFormat="false" ht="15.75" hidden="false" customHeight="true" outlineLevel="0" collapsed="false">
      <c r="B16" s="20" t="s">
        <v>75</v>
      </c>
      <c r="C16" s="21"/>
    </row>
    <row r="17" customFormat="false" ht="15.75" hidden="false" customHeight="true" outlineLevel="0" collapsed="false">
      <c r="B17" s="20" t="s">
        <v>76</v>
      </c>
      <c r="C17" s="21"/>
    </row>
    <row r="18" customFormat="false" ht="15.75" hidden="false" customHeight="true" outlineLevel="0" collapsed="false">
      <c r="B18" s="20" t="s">
        <v>77</v>
      </c>
      <c r="C18" s="21"/>
    </row>
    <row r="19" customFormat="false" ht="15" hidden="false" customHeight="false" outlineLevel="0" collapsed="false">
      <c r="B19" s="21"/>
    </row>
    <row r="20" customFormat="false" ht="22.35" hidden="false" customHeight="true" outlineLevel="0" collapsed="false">
      <c r="B20" s="22" t="s">
        <v>78</v>
      </c>
      <c r="C20" s="22"/>
    </row>
    <row r="21" customFormat="false" ht="15" hidden="false" customHeight="false" outlineLevel="0" collapsed="false">
      <c r="B21" s="21"/>
    </row>
    <row r="22" customFormat="false" ht="15" hidden="false" customHeight="false" outlineLevel="0" collapsed="false">
      <c r="B22" s="21"/>
    </row>
    <row r="23" customFormat="false" ht="15" hidden="false" customHeight="false" outlineLevel="0" collapsed="false">
      <c r="B23" s="21"/>
    </row>
    <row r="24" customFormat="false" ht="15" hidden="false" customHeight="false" outlineLevel="0" collapsed="false">
      <c r="B24" s="21"/>
    </row>
    <row r="25" customFormat="false" ht="15" hidden="false" customHeight="false" outlineLevel="0" collapsed="false">
      <c r="B25" s="21"/>
    </row>
    <row r="26" customFormat="false" ht="15" hidden="false" customHeight="false" outlineLevel="0" collapsed="false">
      <c r="B26" s="21"/>
    </row>
    <row r="27" customFormat="false" ht="15" hidden="false" customHeight="false" outlineLevel="0" collapsed="false">
      <c r="B27" s="21"/>
    </row>
    <row r="28" customFormat="false" ht="15" hidden="false" customHeight="false" outlineLevel="0" collapsed="false">
      <c r="B28" s="21"/>
    </row>
  </sheetData>
  <sheetProtection sheet="true" formatCells="false" formatColumns="false" formatRows="false" insertRows="false" selectLockedCells="true" selectUnlockedCells="true"/>
  <mergeCells count="2">
    <mergeCell ref="B2:C2"/>
    <mergeCell ref="B20:C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3"/>
  </cols>
  <sheetData>
    <row r="2" customFormat="false" ht="25.5" hidden="false" customHeight="true" outlineLevel="0" collapsed="false">
      <c r="A2" s="8" t="s">
        <v>79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7" t="s">
        <v>80</v>
      </c>
      <c r="B3" s="7"/>
      <c r="C3" s="7"/>
      <c r="D3" s="7"/>
      <c r="E3" s="7"/>
      <c r="F3" s="7"/>
      <c r="G3" s="7"/>
    </row>
    <row r="4" customFormat="false" ht="21.75" hidden="false" customHeight="true" outlineLevel="0" collapsed="false">
      <c r="A4" s="10" t="s">
        <v>81</v>
      </c>
      <c r="B4" s="10" t="s">
        <v>82</v>
      </c>
      <c r="C4" s="10" t="s">
        <v>83</v>
      </c>
      <c r="D4" s="10" t="s">
        <v>84</v>
      </c>
      <c r="E4" s="10" t="s">
        <v>59</v>
      </c>
      <c r="F4" s="10" t="s">
        <v>85</v>
      </c>
      <c r="G4" s="10" t="s">
        <v>86</v>
      </c>
    </row>
    <row r="5" customFormat="false" ht="15" hidden="false" customHeight="false" outlineLevel="0" collapsed="false">
      <c r="A5" s="23" t="n">
        <v>46025</v>
      </c>
      <c r="B5" s="24" t="s">
        <v>60</v>
      </c>
      <c r="C5" s="24" t="s">
        <v>87</v>
      </c>
      <c r="D5" s="24" t="s">
        <v>88</v>
      </c>
      <c r="E5" s="24" t="s">
        <v>67</v>
      </c>
      <c r="F5" s="25" t="n">
        <v>4500</v>
      </c>
      <c r="G5" s="26" t="n">
        <f aca="false">IF(F5="","",F5*Configuracion!$C$12)</f>
        <v>4500</v>
      </c>
    </row>
    <row r="6" customFormat="false" ht="15" hidden="false" customHeight="false" outlineLevel="0" collapsed="false">
      <c r="A6" s="23" t="n">
        <v>46027</v>
      </c>
      <c r="B6" s="24" t="s">
        <v>66</v>
      </c>
      <c r="C6" s="24" t="s">
        <v>89</v>
      </c>
      <c r="D6" s="24" t="s">
        <v>90</v>
      </c>
      <c r="E6" s="24" t="s">
        <v>67</v>
      </c>
      <c r="F6" s="25" t="n">
        <v>1200</v>
      </c>
      <c r="G6" s="26" t="n">
        <f aca="false">IF(F6="","",F6*Configuracion!$C$12)</f>
        <v>1200</v>
      </c>
    </row>
    <row r="7" customFormat="false" ht="15" hidden="false" customHeight="false" outlineLevel="0" collapsed="false">
      <c r="A7" s="23" t="n">
        <v>46028</v>
      </c>
      <c r="B7" s="24" t="s">
        <v>68</v>
      </c>
      <c r="C7" s="24" t="s">
        <v>89</v>
      </c>
      <c r="D7" s="24" t="s">
        <v>91</v>
      </c>
      <c r="E7" s="24" t="s">
        <v>63</v>
      </c>
      <c r="F7" s="25" t="n">
        <v>180</v>
      </c>
      <c r="G7" s="26" t="n">
        <f aca="false">IF(F7="","",F7*Configuracion!$C$12)</f>
        <v>180</v>
      </c>
    </row>
    <row r="8" customFormat="false" ht="15" hidden="false" customHeight="false" outlineLevel="0" collapsed="false">
      <c r="A8" s="23" t="n">
        <v>46030</v>
      </c>
      <c r="B8" s="24" t="s">
        <v>69</v>
      </c>
      <c r="C8" s="24" t="s">
        <v>89</v>
      </c>
      <c r="D8" s="24" t="s">
        <v>92</v>
      </c>
      <c r="E8" s="24" t="s">
        <v>65</v>
      </c>
      <c r="F8" s="25" t="n">
        <v>60</v>
      </c>
      <c r="G8" s="26" t="n">
        <f aca="false">IF(F8="","",F8*Configuracion!$C$12)</f>
        <v>60</v>
      </c>
    </row>
    <row r="9" customFormat="false" ht="15" hidden="false" customHeight="false" outlineLevel="0" collapsed="false">
      <c r="A9" s="23" t="n">
        <v>46032</v>
      </c>
      <c r="B9" s="24" t="s">
        <v>70</v>
      </c>
      <c r="C9" s="24" t="s">
        <v>89</v>
      </c>
      <c r="D9" s="24" t="s">
        <v>93</v>
      </c>
      <c r="E9" s="24" t="s">
        <v>67</v>
      </c>
      <c r="F9" s="25" t="n">
        <v>75</v>
      </c>
      <c r="G9" s="26" t="n">
        <f aca="false">IF(F9="","",F9*Configuracion!$C$12)</f>
        <v>75</v>
      </c>
    </row>
    <row r="10" customFormat="false" ht="15" hidden="false" customHeight="false" outlineLevel="0" collapsed="false">
      <c r="A10" s="23" t="n">
        <v>46034</v>
      </c>
      <c r="B10" s="24" t="s">
        <v>62</v>
      </c>
      <c r="C10" s="24" t="s">
        <v>87</v>
      </c>
      <c r="D10" s="24" t="s">
        <v>94</v>
      </c>
      <c r="E10" s="24" t="s">
        <v>67</v>
      </c>
      <c r="F10" s="25" t="n">
        <v>350</v>
      </c>
      <c r="G10" s="26" t="n">
        <f aca="false">IF(F10="","",F10*Configuracion!$C$12)</f>
        <v>350</v>
      </c>
    </row>
    <row r="11" customFormat="false" ht="15" hidden="false" customHeight="false" outlineLevel="0" collapsed="false">
      <c r="A11" s="23" t="n">
        <v>46037</v>
      </c>
      <c r="B11" s="24" t="s">
        <v>73</v>
      </c>
      <c r="C11" s="24" t="s">
        <v>89</v>
      </c>
      <c r="D11" s="24" t="s">
        <v>95</v>
      </c>
      <c r="E11" s="24" t="s">
        <v>61</v>
      </c>
      <c r="F11" s="25" t="n">
        <v>45</v>
      </c>
      <c r="G11" s="26" t="n">
        <f aca="false">IF(F11="","",F11*Configuracion!$C$12)</f>
        <v>45</v>
      </c>
    </row>
    <row r="12" customFormat="false" ht="15" hidden="false" customHeight="false" outlineLevel="0" collapsed="false">
      <c r="A12" s="23" t="n">
        <v>46042</v>
      </c>
      <c r="B12" s="24" t="s">
        <v>71</v>
      </c>
      <c r="C12" s="24" t="s">
        <v>89</v>
      </c>
      <c r="D12" s="24" t="s">
        <v>96</v>
      </c>
      <c r="E12" s="24" t="s">
        <v>61</v>
      </c>
      <c r="F12" s="25" t="n">
        <v>90</v>
      </c>
      <c r="G12" s="26" t="n">
        <f aca="false">IF(F12="","",F12*Configuracion!$C$12)</f>
        <v>90</v>
      </c>
    </row>
    <row r="13" customFormat="false" ht="15" hidden="false" customHeight="false" outlineLevel="0" collapsed="false">
      <c r="A13" s="23" t="n">
        <v>46047</v>
      </c>
      <c r="B13" s="24" t="s">
        <v>75</v>
      </c>
      <c r="C13" s="24" t="s">
        <v>89</v>
      </c>
      <c r="D13" s="24" t="s">
        <v>97</v>
      </c>
      <c r="E13" s="24" t="s">
        <v>67</v>
      </c>
      <c r="F13" s="25" t="n">
        <v>300</v>
      </c>
      <c r="G13" s="26" t="n">
        <f aca="false">IF(F13="","",F13*Configuracion!$C$12)</f>
        <v>300</v>
      </c>
    </row>
    <row r="14" customFormat="false" ht="15" hidden="false" customHeight="false" outlineLevel="0" collapsed="false">
      <c r="A14" s="23" t="n">
        <v>46056</v>
      </c>
      <c r="B14" s="24" t="s">
        <v>60</v>
      </c>
      <c r="C14" s="24" t="s">
        <v>87</v>
      </c>
      <c r="D14" s="24" t="s">
        <v>88</v>
      </c>
      <c r="E14" s="24" t="s">
        <v>67</v>
      </c>
      <c r="F14" s="25" t="n">
        <v>4500</v>
      </c>
      <c r="G14" s="26" t="n">
        <f aca="false">IF(F14="","",F14*Configuracion!$C$12)</f>
        <v>4500</v>
      </c>
    </row>
    <row r="15" customFormat="false" ht="15" hidden="false" customHeight="false" outlineLevel="0" collapsed="false">
      <c r="A15" s="23" t="n">
        <v>46058</v>
      </c>
      <c r="B15" s="24" t="s">
        <v>66</v>
      </c>
      <c r="C15" s="24" t="s">
        <v>89</v>
      </c>
      <c r="D15" s="24" t="s">
        <v>98</v>
      </c>
      <c r="E15" s="24" t="s">
        <v>67</v>
      </c>
      <c r="F15" s="25" t="n">
        <v>1200</v>
      </c>
      <c r="G15" s="26" t="n">
        <f aca="false">IF(F15="","",F15*Configuracion!$C$12)</f>
        <v>1200</v>
      </c>
    </row>
    <row r="16" customFormat="false" ht="15" hidden="false" customHeight="false" outlineLevel="0" collapsed="false">
      <c r="A16" s="23" t="n">
        <v>46060</v>
      </c>
      <c r="B16" s="24" t="s">
        <v>68</v>
      </c>
      <c r="C16" s="24" t="s">
        <v>89</v>
      </c>
      <c r="D16" s="24" t="s">
        <v>91</v>
      </c>
      <c r="E16" s="24" t="s">
        <v>63</v>
      </c>
      <c r="F16" s="25" t="n">
        <v>210</v>
      </c>
      <c r="G16" s="26" t="n">
        <f aca="false">IF(F16="","",F16*Configuracion!$C$12)</f>
        <v>210</v>
      </c>
    </row>
    <row r="17" customFormat="false" ht="15" hidden="false" customHeight="false" outlineLevel="0" collapsed="false">
      <c r="A17" s="23" t="n">
        <v>46062</v>
      </c>
      <c r="B17" s="24" t="s">
        <v>69</v>
      </c>
      <c r="C17" s="24" t="s">
        <v>89</v>
      </c>
      <c r="D17" s="24" t="s">
        <v>99</v>
      </c>
      <c r="E17" s="24" t="s">
        <v>65</v>
      </c>
      <c r="F17" s="25" t="n">
        <v>120</v>
      </c>
      <c r="G17" s="26" t="n">
        <f aca="false">IF(F17="","",F17*Configuracion!$C$12)</f>
        <v>120</v>
      </c>
    </row>
    <row r="18" customFormat="false" ht="15" hidden="false" customHeight="false" outlineLevel="0" collapsed="false">
      <c r="A18" s="23" t="n">
        <v>46067</v>
      </c>
      <c r="B18" s="24" t="s">
        <v>73</v>
      </c>
      <c r="C18" s="24" t="s">
        <v>89</v>
      </c>
      <c r="D18" s="24" t="s">
        <v>100</v>
      </c>
      <c r="E18" s="24" t="s">
        <v>65</v>
      </c>
      <c r="F18" s="25" t="n">
        <v>25</v>
      </c>
      <c r="G18" s="26" t="n">
        <f aca="false">IF(F18="","",F18*Configuracion!$C$12)</f>
        <v>25</v>
      </c>
    </row>
    <row r="19" customFormat="false" ht="15" hidden="false" customHeight="false" outlineLevel="0" collapsed="false">
      <c r="A19" s="23" t="n">
        <v>46071</v>
      </c>
      <c r="B19" s="24" t="s">
        <v>72</v>
      </c>
      <c r="C19" s="24" t="s">
        <v>89</v>
      </c>
      <c r="D19" s="24" t="s">
        <v>101</v>
      </c>
      <c r="E19" s="24" t="s">
        <v>65</v>
      </c>
      <c r="F19" s="25" t="n">
        <v>80</v>
      </c>
      <c r="G19" s="26" t="n">
        <f aca="false">IF(F19="","",F19*Configuracion!$C$12)</f>
        <v>80</v>
      </c>
    </row>
    <row r="20" customFormat="false" ht="15" hidden="false" customHeight="false" outlineLevel="0" collapsed="false">
      <c r="A20" s="23" t="n">
        <v>46075</v>
      </c>
      <c r="B20" s="24" t="s">
        <v>64</v>
      </c>
      <c r="C20" s="24" t="s">
        <v>87</v>
      </c>
      <c r="D20" s="24" t="s">
        <v>102</v>
      </c>
      <c r="E20" s="24" t="s">
        <v>61</v>
      </c>
      <c r="F20" s="25" t="n">
        <v>150</v>
      </c>
      <c r="G20" s="26" t="n">
        <f aca="false">IF(F20="","",F20*Configuracion!$C$12)</f>
        <v>150</v>
      </c>
    </row>
    <row r="21" customFormat="false" ht="15" hidden="false" customHeight="false" outlineLevel="0" collapsed="false">
      <c r="A21" s="23" t="n">
        <v>46084</v>
      </c>
      <c r="B21" s="24" t="s">
        <v>60</v>
      </c>
      <c r="C21" s="24" t="s">
        <v>87</v>
      </c>
      <c r="D21" s="24" t="s">
        <v>88</v>
      </c>
      <c r="E21" s="24" t="s">
        <v>67</v>
      </c>
      <c r="F21" s="25" t="n">
        <v>4600</v>
      </c>
      <c r="G21" s="26" t="n">
        <f aca="false">IF(F21="","",F21*Configuracion!$C$12)</f>
        <v>4600</v>
      </c>
    </row>
    <row r="22" customFormat="false" ht="15" hidden="false" customHeight="false" outlineLevel="0" collapsed="false">
      <c r="A22" s="23" t="n">
        <v>46086</v>
      </c>
      <c r="B22" s="24" t="s">
        <v>66</v>
      </c>
      <c r="C22" s="24" t="s">
        <v>89</v>
      </c>
      <c r="D22" s="24" t="s">
        <v>103</v>
      </c>
      <c r="E22" s="24" t="s">
        <v>67</v>
      </c>
      <c r="F22" s="25" t="n">
        <v>1200</v>
      </c>
      <c r="G22" s="26" t="n">
        <f aca="false">IF(F22="","",F22*Configuracion!$C$12)</f>
        <v>1200</v>
      </c>
    </row>
    <row r="23" customFormat="false" ht="15" hidden="false" customHeight="false" outlineLevel="0" collapsed="false">
      <c r="A23" s="23" t="n">
        <v>46089</v>
      </c>
      <c r="B23" s="24" t="s">
        <v>68</v>
      </c>
      <c r="C23" s="24" t="s">
        <v>89</v>
      </c>
      <c r="D23" s="24" t="s">
        <v>91</v>
      </c>
      <c r="E23" s="24" t="s">
        <v>63</v>
      </c>
      <c r="F23" s="25" t="n">
        <v>195</v>
      </c>
      <c r="G23" s="26" t="n">
        <f aca="false">IF(F23="","",F23*Configuracion!$C$12)</f>
        <v>195</v>
      </c>
    </row>
    <row r="24" customFormat="false" ht="15" hidden="false" customHeight="false" outlineLevel="0" collapsed="false">
      <c r="A24" s="23" t="n">
        <v>46096</v>
      </c>
      <c r="B24" s="24" t="s">
        <v>76</v>
      </c>
      <c r="C24" s="24" t="s">
        <v>89</v>
      </c>
      <c r="D24" s="24" t="s">
        <v>104</v>
      </c>
      <c r="E24" s="24" t="s">
        <v>67</v>
      </c>
      <c r="F24" s="25" t="n">
        <v>250</v>
      </c>
      <c r="G24" s="26" t="n">
        <f aca="false">IF(F24="","",F24*Configuracion!$C$12)</f>
        <v>250</v>
      </c>
    </row>
    <row r="25" customFormat="false" ht="15" hidden="false" customHeight="false" outlineLevel="0" collapsed="false">
      <c r="A25" s="23"/>
      <c r="B25" s="24"/>
      <c r="C25" s="24"/>
      <c r="D25" s="24"/>
      <c r="E25" s="24"/>
      <c r="F25" s="25"/>
      <c r="G25" s="26" t="str">
        <f aca="false">IF(F25="","",F25*Configuracion!$C$12)</f>
        <v/>
      </c>
    </row>
    <row r="26" customFormat="false" ht="15" hidden="false" customHeight="false" outlineLevel="0" collapsed="false">
      <c r="A26" s="23"/>
      <c r="B26" s="24"/>
      <c r="C26" s="24"/>
      <c r="D26" s="24"/>
      <c r="E26" s="24"/>
      <c r="F26" s="25"/>
      <c r="G26" s="26" t="str">
        <f aca="false">IF(F26="","",F26*Configuracion!$C$12)</f>
        <v/>
      </c>
    </row>
    <row r="27" customFormat="false" ht="15" hidden="false" customHeight="false" outlineLevel="0" collapsed="false">
      <c r="A27" s="23"/>
      <c r="B27" s="24"/>
      <c r="C27" s="24"/>
      <c r="D27" s="24"/>
      <c r="E27" s="24"/>
      <c r="F27" s="25"/>
      <c r="G27" s="26" t="str">
        <f aca="false">IF(F27="","",F27*Configuracion!$C$12)</f>
        <v/>
      </c>
    </row>
    <row r="28" customFormat="false" ht="15" hidden="false" customHeight="false" outlineLevel="0" collapsed="false">
      <c r="A28" s="23"/>
      <c r="B28" s="24"/>
      <c r="C28" s="24"/>
      <c r="D28" s="24"/>
      <c r="E28" s="24"/>
      <c r="F28" s="25"/>
      <c r="G28" s="26" t="str">
        <f aca="false">IF(F28="","",F28*Configuracion!$C$12)</f>
        <v/>
      </c>
    </row>
    <row r="29" customFormat="false" ht="15" hidden="false" customHeight="false" outlineLevel="0" collapsed="false">
      <c r="A29" s="23"/>
      <c r="B29" s="24"/>
      <c r="C29" s="24"/>
      <c r="D29" s="24"/>
      <c r="E29" s="24"/>
      <c r="F29" s="25"/>
      <c r="G29" s="26" t="str">
        <f aca="false">IF(F29="","",F29*Configuracion!$C$12)</f>
        <v/>
      </c>
    </row>
    <row r="30" customFormat="false" ht="15" hidden="false" customHeight="false" outlineLevel="0" collapsed="false">
      <c r="A30" s="23"/>
      <c r="B30" s="24"/>
      <c r="C30" s="24"/>
      <c r="D30" s="24"/>
      <c r="E30" s="24"/>
      <c r="F30" s="25"/>
      <c r="G30" s="26" t="str">
        <f aca="false">IF(F30="","",F30*Configuracion!$C$12)</f>
        <v/>
      </c>
    </row>
    <row r="31" customFormat="false" ht="15" hidden="false" customHeight="false" outlineLevel="0" collapsed="false">
      <c r="A31" s="23"/>
      <c r="B31" s="24"/>
      <c r="C31" s="24"/>
      <c r="D31" s="24"/>
      <c r="E31" s="24"/>
      <c r="F31" s="25"/>
      <c r="G31" s="26" t="str">
        <f aca="false">IF(F31="","",F31*Configuracion!$C$12)</f>
        <v/>
      </c>
    </row>
    <row r="32" customFormat="false" ht="15" hidden="false" customHeight="false" outlineLevel="0" collapsed="false">
      <c r="A32" s="23"/>
      <c r="B32" s="24"/>
      <c r="C32" s="24"/>
      <c r="D32" s="24"/>
      <c r="E32" s="24"/>
      <c r="F32" s="25"/>
      <c r="G32" s="26" t="str">
        <f aca="false">IF(F32="","",F32*Configuracion!$C$12)</f>
        <v/>
      </c>
    </row>
    <row r="33" customFormat="false" ht="15" hidden="false" customHeight="false" outlineLevel="0" collapsed="false">
      <c r="A33" s="23"/>
      <c r="B33" s="24"/>
      <c r="C33" s="24"/>
      <c r="D33" s="24"/>
      <c r="E33" s="24"/>
      <c r="F33" s="25"/>
      <c r="G33" s="26" t="str">
        <f aca="false">IF(F33="","",F33*Configuracion!$C$12)</f>
        <v/>
      </c>
    </row>
    <row r="34" customFormat="false" ht="15" hidden="false" customHeight="false" outlineLevel="0" collapsed="false">
      <c r="A34" s="23"/>
      <c r="B34" s="24"/>
      <c r="C34" s="24"/>
      <c r="D34" s="24"/>
      <c r="E34" s="24"/>
      <c r="F34" s="25"/>
      <c r="G34" s="26" t="str">
        <f aca="false">IF(F34="","",F34*Configuracion!$C$12)</f>
        <v/>
      </c>
    </row>
    <row r="35" customFormat="false" ht="15" hidden="false" customHeight="false" outlineLevel="0" collapsed="false">
      <c r="A35" s="23"/>
      <c r="B35" s="24"/>
      <c r="C35" s="24"/>
      <c r="D35" s="24"/>
      <c r="E35" s="24"/>
      <c r="F35" s="25"/>
      <c r="G35" s="26" t="str">
        <f aca="false">IF(F35="","",F35*Configuracion!$C$12)</f>
        <v/>
      </c>
    </row>
    <row r="36" customFormat="false" ht="15" hidden="false" customHeight="false" outlineLevel="0" collapsed="false">
      <c r="A36" s="23"/>
      <c r="B36" s="24"/>
      <c r="C36" s="24"/>
      <c r="D36" s="24"/>
      <c r="E36" s="24"/>
      <c r="F36" s="25"/>
      <c r="G36" s="26" t="str">
        <f aca="false">IF(F36="","",F36*Configuracion!$C$12)</f>
        <v/>
      </c>
    </row>
    <row r="37" customFormat="false" ht="15" hidden="false" customHeight="false" outlineLevel="0" collapsed="false">
      <c r="A37" s="23"/>
      <c r="B37" s="24"/>
      <c r="C37" s="24"/>
      <c r="D37" s="24"/>
      <c r="E37" s="24"/>
      <c r="F37" s="25"/>
      <c r="G37" s="26" t="str">
        <f aca="false">IF(F37="","",F37*Configuracion!$C$12)</f>
        <v/>
      </c>
    </row>
    <row r="38" customFormat="false" ht="15" hidden="false" customHeight="false" outlineLevel="0" collapsed="false">
      <c r="A38" s="23"/>
      <c r="B38" s="24"/>
      <c r="C38" s="24"/>
      <c r="D38" s="24"/>
      <c r="E38" s="24"/>
      <c r="F38" s="25"/>
      <c r="G38" s="26" t="str">
        <f aca="false">IF(F38="","",F38*Configuracion!$C$12)</f>
        <v/>
      </c>
    </row>
    <row r="39" customFormat="false" ht="15" hidden="false" customHeight="false" outlineLevel="0" collapsed="false">
      <c r="A39" s="23"/>
      <c r="B39" s="24"/>
      <c r="C39" s="24"/>
      <c r="D39" s="24"/>
      <c r="E39" s="24"/>
      <c r="F39" s="25"/>
      <c r="G39" s="26" t="str">
        <f aca="false">IF(F39="","",F39*Configuracion!$C$12)</f>
        <v/>
      </c>
    </row>
    <row r="40" customFormat="false" ht="15" hidden="false" customHeight="false" outlineLevel="0" collapsed="false">
      <c r="A40" s="23"/>
      <c r="B40" s="24"/>
      <c r="C40" s="24"/>
      <c r="D40" s="24"/>
      <c r="E40" s="24"/>
      <c r="F40" s="25"/>
      <c r="G40" s="26" t="str">
        <f aca="false">IF(F40="","",F40*Configuracion!$C$12)</f>
        <v/>
      </c>
    </row>
    <row r="41" customFormat="false" ht="15" hidden="false" customHeight="false" outlineLevel="0" collapsed="false">
      <c r="A41" s="23"/>
      <c r="B41" s="24"/>
      <c r="C41" s="24"/>
      <c r="D41" s="24"/>
      <c r="E41" s="24"/>
      <c r="F41" s="25"/>
      <c r="G41" s="26" t="str">
        <f aca="false">IF(F41="","",F41*Configuracion!$C$12)</f>
        <v/>
      </c>
    </row>
    <row r="42" customFormat="false" ht="15" hidden="false" customHeight="false" outlineLevel="0" collapsed="false">
      <c r="A42" s="23"/>
      <c r="B42" s="24"/>
      <c r="C42" s="24"/>
      <c r="D42" s="24"/>
      <c r="E42" s="24"/>
      <c r="F42" s="25"/>
      <c r="G42" s="26" t="str">
        <f aca="false">IF(F42="","",F42*Configuracion!$C$12)</f>
        <v/>
      </c>
    </row>
    <row r="43" customFormat="false" ht="15" hidden="false" customHeight="false" outlineLevel="0" collapsed="false">
      <c r="A43" s="23"/>
      <c r="B43" s="24"/>
      <c r="C43" s="24"/>
      <c r="D43" s="24"/>
      <c r="E43" s="24"/>
      <c r="F43" s="25"/>
      <c r="G43" s="26" t="str">
        <f aca="false">IF(F43="","",F43*Configuracion!$C$12)</f>
        <v/>
      </c>
    </row>
    <row r="44" customFormat="false" ht="15" hidden="false" customHeight="false" outlineLevel="0" collapsed="false">
      <c r="A44" s="23"/>
      <c r="B44" s="24"/>
      <c r="C44" s="24"/>
      <c r="D44" s="24"/>
      <c r="E44" s="24"/>
      <c r="F44" s="25"/>
      <c r="G44" s="26" t="str">
        <f aca="false">IF(F44="","",F44*Configuracion!$C$12)</f>
        <v/>
      </c>
    </row>
    <row r="45" customFormat="false" ht="15" hidden="false" customHeight="false" outlineLevel="0" collapsed="false">
      <c r="A45" s="23"/>
      <c r="B45" s="24"/>
      <c r="C45" s="24"/>
      <c r="D45" s="24"/>
      <c r="E45" s="24"/>
      <c r="F45" s="25"/>
      <c r="G45" s="26" t="str">
        <f aca="false">IF(F45="","",F45*Configuracion!$C$12)</f>
        <v/>
      </c>
    </row>
    <row r="46" customFormat="false" ht="15" hidden="false" customHeight="false" outlineLevel="0" collapsed="false">
      <c r="A46" s="23"/>
      <c r="B46" s="24"/>
      <c r="C46" s="24"/>
      <c r="D46" s="24"/>
      <c r="E46" s="24"/>
      <c r="F46" s="25"/>
      <c r="G46" s="26" t="str">
        <f aca="false">IF(F46="","",F46*Configuracion!$C$12)</f>
        <v/>
      </c>
    </row>
    <row r="47" customFormat="false" ht="15" hidden="false" customHeight="false" outlineLevel="0" collapsed="false">
      <c r="A47" s="23"/>
      <c r="B47" s="24"/>
      <c r="C47" s="24"/>
      <c r="D47" s="24"/>
      <c r="E47" s="24"/>
      <c r="F47" s="25"/>
      <c r="G47" s="26" t="str">
        <f aca="false">IF(F47="","",F47*Configuracion!$C$12)</f>
        <v/>
      </c>
    </row>
    <row r="48" customFormat="false" ht="15" hidden="false" customHeight="false" outlineLevel="0" collapsed="false">
      <c r="A48" s="23"/>
      <c r="B48" s="24"/>
      <c r="C48" s="24"/>
      <c r="D48" s="24"/>
      <c r="E48" s="24"/>
      <c r="F48" s="25"/>
      <c r="G48" s="26" t="str">
        <f aca="false">IF(F48="","",F48*Configuracion!$C$12)</f>
        <v/>
      </c>
    </row>
    <row r="49" customFormat="false" ht="15" hidden="false" customHeight="false" outlineLevel="0" collapsed="false">
      <c r="A49" s="23"/>
      <c r="B49" s="24"/>
      <c r="C49" s="24"/>
      <c r="D49" s="24"/>
      <c r="E49" s="24"/>
      <c r="F49" s="25"/>
      <c r="G49" s="26" t="str">
        <f aca="false">IF(F49="","",F49*Configuracion!$C$12)</f>
        <v/>
      </c>
    </row>
    <row r="50" customFormat="false" ht="15" hidden="false" customHeight="false" outlineLevel="0" collapsed="false">
      <c r="A50" s="23"/>
      <c r="B50" s="24"/>
      <c r="C50" s="24"/>
      <c r="D50" s="24"/>
      <c r="E50" s="24"/>
      <c r="F50" s="25"/>
      <c r="G50" s="26" t="str">
        <f aca="false">IF(F50="","",F50*Configuracion!$C$12)</f>
        <v/>
      </c>
    </row>
    <row r="51" customFormat="false" ht="15" hidden="false" customHeight="false" outlineLevel="0" collapsed="false">
      <c r="A51" s="23"/>
      <c r="B51" s="24"/>
      <c r="C51" s="24"/>
      <c r="D51" s="24"/>
      <c r="E51" s="24"/>
      <c r="F51" s="25"/>
      <c r="G51" s="26" t="str">
        <f aca="false">IF(F51="","",F51*Configuracion!$C$12)</f>
        <v/>
      </c>
    </row>
    <row r="52" customFormat="false" ht="15" hidden="false" customHeight="false" outlineLevel="0" collapsed="false">
      <c r="A52" s="23"/>
      <c r="B52" s="24"/>
      <c r="C52" s="24"/>
      <c r="D52" s="24"/>
      <c r="E52" s="24"/>
      <c r="F52" s="25"/>
      <c r="G52" s="26" t="str">
        <f aca="false">IF(F52="","",F52*Configuracion!$C$12)</f>
        <v/>
      </c>
    </row>
    <row r="53" customFormat="false" ht="15" hidden="false" customHeight="false" outlineLevel="0" collapsed="false">
      <c r="A53" s="23"/>
      <c r="B53" s="24"/>
      <c r="C53" s="24"/>
      <c r="D53" s="24"/>
      <c r="E53" s="24"/>
      <c r="F53" s="25"/>
      <c r="G53" s="26" t="str">
        <f aca="false">IF(F53="","",F53*Configuracion!$C$12)</f>
        <v/>
      </c>
    </row>
    <row r="54" customFormat="false" ht="15" hidden="false" customHeight="false" outlineLevel="0" collapsed="false">
      <c r="A54" s="23"/>
      <c r="B54" s="24"/>
      <c r="C54" s="24"/>
      <c r="D54" s="24"/>
      <c r="E54" s="24"/>
      <c r="F54" s="25"/>
      <c r="G54" s="26" t="str">
        <f aca="false">IF(F54="","",F54*Configuracion!$C$12)</f>
        <v/>
      </c>
    </row>
    <row r="55" customFormat="false" ht="15" hidden="false" customHeight="false" outlineLevel="0" collapsed="false">
      <c r="A55" s="23"/>
      <c r="B55" s="24"/>
      <c r="C55" s="24"/>
      <c r="D55" s="24"/>
      <c r="E55" s="24"/>
      <c r="F55" s="25"/>
      <c r="G55" s="26" t="str">
        <f aca="false">IF(F55="","",F55*Configuracion!$C$12)</f>
        <v/>
      </c>
    </row>
    <row r="56" customFormat="false" ht="15" hidden="false" customHeight="false" outlineLevel="0" collapsed="false">
      <c r="A56" s="23"/>
      <c r="B56" s="24"/>
      <c r="C56" s="24"/>
      <c r="D56" s="24"/>
      <c r="E56" s="24"/>
      <c r="F56" s="25"/>
      <c r="G56" s="26" t="str">
        <f aca="false">IF(F56="","",F56*Configuracion!$C$12)</f>
        <v/>
      </c>
    </row>
    <row r="57" customFormat="false" ht="15" hidden="false" customHeight="false" outlineLevel="0" collapsed="false">
      <c r="A57" s="23"/>
      <c r="B57" s="24"/>
      <c r="C57" s="24"/>
      <c r="D57" s="24"/>
      <c r="E57" s="24"/>
      <c r="F57" s="25"/>
      <c r="G57" s="26" t="str">
        <f aca="false">IF(F57="","",F57*Configuracion!$C$12)</f>
        <v/>
      </c>
    </row>
    <row r="58" customFormat="false" ht="15" hidden="false" customHeight="false" outlineLevel="0" collapsed="false">
      <c r="A58" s="23"/>
      <c r="B58" s="24"/>
      <c r="C58" s="24"/>
      <c r="D58" s="24"/>
      <c r="E58" s="24"/>
      <c r="F58" s="25"/>
      <c r="G58" s="26" t="str">
        <f aca="false">IF(F58="","",F58*Configuracion!$C$12)</f>
        <v/>
      </c>
    </row>
    <row r="59" customFormat="false" ht="15" hidden="false" customHeight="false" outlineLevel="0" collapsed="false">
      <c r="A59" s="23"/>
      <c r="B59" s="24"/>
      <c r="C59" s="24"/>
      <c r="D59" s="24"/>
      <c r="E59" s="24"/>
      <c r="F59" s="25"/>
      <c r="G59" s="26" t="str">
        <f aca="false">IF(F59="","",F59*Configuracion!$C$12)</f>
        <v/>
      </c>
    </row>
    <row r="60" customFormat="false" ht="15" hidden="false" customHeight="false" outlineLevel="0" collapsed="false">
      <c r="A60" s="23"/>
      <c r="B60" s="24"/>
      <c r="C60" s="24"/>
      <c r="D60" s="24"/>
      <c r="E60" s="24"/>
      <c r="F60" s="25"/>
      <c r="G60" s="26" t="str">
        <f aca="false">IF(F60="","",F60*Configuracion!$C$12)</f>
        <v/>
      </c>
    </row>
    <row r="61" customFormat="false" ht="15" hidden="false" customHeight="false" outlineLevel="0" collapsed="false">
      <c r="A61" s="23"/>
      <c r="B61" s="24"/>
      <c r="C61" s="24"/>
      <c r="D61" s="24"/>
      <c r="E61" s="24"/>
      <c r="F61" s="25"/>
      <c r="G61" s="26" t="str">
        <f aca="false">IF(F61="","",F61*Configuracion!$C$12)</f>
        <v/>
      </c>
    </row>
    <row r="62" customFormat="false" ht="15" hidden="false" customHeight="false" outlineLevel="0" collapsed="false">
      <c r="A62" s="23"/>
      <c r="B62" s="24"/>
      <c r="C62" s="24"/>
      <c r="D62" s="24"/>
      <c r="E62" s="24"/>
      <c r="F62" s="25"/>
      <c r="G62" s="26" t="str">
        <f aca="false">IF(F62="","",F62*Configuracion!$C$12)</f>
        <v/>
      </c>
    </row>
    <row r="63" customFormat="false" ht="15" hidden="false" customHeight="false" outlineLevel="0" collapsed="false">
      <c r="A63" s="23"/>
      <c r="B63" s="24"/>
      <c r="C63" s="24"/>
      <c r="D63" s="24"/>
      <c r="E63" s="24"/>
      <c r="F63" s="25"/>
      <c r="G63" s="26" t="str">
        <f aca="false">IF(F63="","",F63*Configuracion!$C$12)</f>
        <v/>
      </c>
    </row>
    <row r="64" customFormat="false" ht="15" hidden="false" customHeight="false" outlineLevel="0" collapsed="false">
      <c r="A64" s="23"/>
      <c r="B64" s="24"/>
      <c r="C64" s="24"/>
      <c r="D64" s="24"/>
      <c r="E64" s="24"/>
      <c r="F64" s="25"/>
      <c r="G64" s="26" t="str">
        <f aca="false">IF(F64="","",F64*Configuracion!$C$12)</f>
        <v/>
      </c>
    </row>
    <row r="65" customFormat="false" ht="15" hidden="false" customHeight="false" outlineLevel="0" collapsed="false">
      <c r="A65" s="23"/>
      <c r="B65" s="24"/>
      <c r="C65" s="24"/>
      <c r="D65" s="24"/>
      <c r="E65" s="24"/>
      <c r="F65" s="25"/>
      <c r="G65" s="26" t="str">
        <f aca="false">IF(F65="","",F65*Configuracion!$C$12)</f>
        <v/>
      </c>
    </row>
    <row r="66" customFormat="false" ht="15" hidden="false" customHeight="false" outlineLevel="0" collapsed="false">
      <c r="A66" s="23"/>
      <c r="B66" s="24"/>
      <c r="C66" s="24"/>
      <c r="D66" s="24"/>
      <c r="E66" s="24"/>
      <c r="F66" s="25"/>
      <c r="G66" s="26" t="str">
        <f aca="false">IF(F66="","",F66*Configuracion!$C$12)</f>
        <v/>
      </c>
    </row>
    <row r="67" customFormat="false" ht="15" hidden="false" customHeight="false" outlineLevel="0" collapsed="false">
      <c r="A67" s="23"/>
      <c r="B67" s="24"/>
      <c r="C67" s="24"/>
      <c r="D67" s="24"/>
      <c r="E67" s="24"/>
      <c r="F67" s="25"/>
      <c r="G67" s="26" t="str">
        <f aca="false">IF(F67="","",F67*Configuracion!$C$12)</f>
        <v/>
      </c>
    </row>
    <row r="68" customFormat="false" ht="15" hidden="false" customHeight="false" outlineLevel="0" collapsed="false">
      <c r="A68" s="23"/>
      <c r="B68" s="24"/>
      <c r="C68" s="24"/>
      <c r="D68" s="24"/>
      <c r="E68" s="24"/>
      <c r="F68" s="25"/>
      <c r="G68" s="26" t="str">
        <f aca="false">IF(F68="","",F68*Configuracion!$C$12)</f>
        <v/>
      </c>
    </row>
    <row r="69" customFormat="false" ht="15" hidden="false" customHeight="false" outlineLevel="0" collapsed="false">
      <c r="A69" s="23"/>
      <c r="B69" s="24"/>
      <c r="C69" s="24"/>
      <c r="D69" s="24"/>
      <c r="E69" s="24"/>
      <c r="F69" s="25"/>
      <c r="G69" s="26" t="str">
        <f aca="false">IF(F69="","",F69*Configuracion!$C$12)</f>
        <v/>
      </c>
    </row>
    <row r="70" customFormat="false" ht="15" hidden="false" customHeight="false" outlineLevel="0" collapsed="false">
      <c r="A70" s="23"/>
      <c r="B70" s="24"/>
      <c r="C70" s="24"/>
      <c r="D70" s="24"/>
      <c r="E70" s="24"/>
      <c r="F70" s="25"/>
      <c r="G70" s="26" t="str">
        <f aca="false">IF(F70="","",F70*Configuracion!$C$12)</f>
        <v/>
      </c>
    </row>
    <row r="71" customFormat="false" ht="15" hidden="false" customHeight="false" outlineLevel="0" collapsed="false">
      <c r="A71" s="23"/>
      <c r="B71" s="24"/>
      <c r="C71" s="24"/>
      <c r="D71" s="24"/>
      <c r="E71" s="24"/>
      <c r="F71" s="25"/>
      <c r="G71" s="26" t="str">
        <f aca="false">IF(F71="","",F71*Configuracion!$C$12)</f>
        <v/>
      </c>
    </row>
    <row r="72" customFormat="false" ht="15" hidden="false" customHeight="false" outlineLevel="0" collapsed="false">
      <c r="A72" s="23"/>
      <c r="B72" s="24"/>
      <c r="C72" s="24"/>
      <c r="D72" s="24"/>
      <c r="E72" s="24"/>
      <c r="F72" s="25"/>
      <c r="G72" s="26" t="str">
        <f aca="false">IF(F72="","",F72*Configuracion!$C$12)</f>
        <v/>
      </c>
    </row>
    <row r="73" customFormat="false" ht="15" hidden="false" customHeight="false" outlineLevel="0" collapsed="false">
      <c r="A73" s="23"/>
      <c r="B73" s="24"/>
      <c r="C73" s="24"/>
      <c r="D73" s="24"/>
      <c r="E73" s="24"/>
      <c r="F73" s="25"/>
      <c r="G73" s="26" t="str">
        <f aca="false">IF(F73="","",F73*Configuracion!$C$12)</f>
        <v/>
      </c>
    </row>
    <row r="74" customFormat="false" ht="15" hidden="false" customHeight="false" outlineLevel="0" collapsed="false">
      <c r="A74" s="23"/>
      <c r="B74" s="24"/>
      <c r="C74" s="24"/>
      <c r="D74" s="24"/>
      <c r="E74" s="24"/>
      <c r="F74" s="25"/>
      <c r="G74" s="26" t="str">
        <f aca="false">IF(F74="","",F74*Configuracion!$C$12)</f>
        <v/>
      </c>
    </row>
    <row r="75" customFormat="false" ht="15" hidden="false" customHeight="false" outlineLevel="0" collapsed="false">
      <c r="A75" s="23"/>
      <c r="B75" s="24"/>
      <c r="C75" s="24"/>
      <c r="D75" s="24"/>
      <c r="E75" s="24"/>
      <c r="F75" s="25"/>
      <c r="G75" s="26" t="str">
        <f aca="false">IF(F75="","",F75*Configuracion!$C$12)</f>
        <v/>
      </c>
    </row>
    <row r="76" customFormat="false" ht="15" hidden="false" customHeight="false" outlineLevel="0" collapsed="false">
      <c r="A76" s="23"/>
      <c r="B76" s="24"/>
      <c r="C76" s="24"/>
      <c r="D76" s="24"/>
      <c r="E76" s="24"/>
      <c r="F76" s="25"/>
      <c r="G76" s="26" t="str">
        <f aca="false">IF(F76="","",F76*Configuracion!$C$12)</f>
        <v/>
      </c>
    </row>
    <row r="77" customFormat="false" ht="15" hidden="false" customHeight="false" outlineLevel="0" collapsed="false">
      <c r="A77" s="23"/>
      <c r="B77" s="24"/>
      <c r="C77" s="24"/>
      <c r="D77" s="24"/>
      <c r="E77" s="24"/>
      <c r="F77" s="25"/>
      <c r="G77" s="26" t="str">
        <f aca="false">IF(F77="","",F77*Configuracion!$C$12)</f>
        <v/>
      </c>
    </row>
    <row r="78" customFormat="false" ht="15" hidden="false" customHeight="false" outlineLevel="0" collapsed="false">
      <c r="A78" s="23"/>
      <c r="B78" s="24"/>
      <c r="C78" s="24"/>
      <c r="D78" s="24"/>
      <c r="E78" s="24"/>
      <c r="F78" s="25"/>
      <c r="G78" s="26" t="str">
        <f aca="false">IF(F78="","",F78*Configuracion!$C$12)</f>
        <v/>
      </c>
    </row>
    <row r="79" customFormat="false" ht="15" hidden="false" customHeight="false" outlineLevel="0" collapsed="false">
      <c r="A79" s="23"/>
      <c r="B79" s="24"/>
      <c r="C79" s="24"/>
      <c r="D79" s="24"/>
      <c r="E79" s="24"/>
      <c r="F79" s="25"/>
      <c r="G79" s="26" t="str">
        <f aca="false">IF(F79="","",F79*Configuracion!$C$12)</f>
        <v/>
      </c>
    </row>
    <row r="80" customFormat="false" ht="15" hidden="false" customHeight="false" outlineLevel="0" collapsed="false">
      <c r="A80" s="23"/>
      <c r="B80" s="24"/>
      <c r="C80" s="24"/>
      <c r="D80" s="24"/>
      <c r="E80" s="24"/>
      <c r="F80" s="25"/>
      <c r="G80" s="26" t="str">
        <f aca="false">IF(F80="","",F80*Configuracion!$C$12)</f>
        <v/>
      </c>
    </row>
    <row r="81" customFormat="false" ht="15" hidden="false" customHeight="false" outlineLevel="0" collapsed="false">
      <c r="A81" s="23"/>
      <c r="B81" s="24"/>
      <c r="C81" s="24"/>
      <c r="D81" s="24"/>
      <c r="E81" s="24"/>
      <c r="F81" s="25"/>
      <c r="G81" s="26" t="str">
        <f aca="false">IF(F81="","",F81*Configuracion!$C$12)</f>
        <v/>
      </c>
    </row>
    <row r="82" customFormat="false" ht="15" hidden="false" customHeight="false" outlineLevel="0" collapsed="false">
      <c r="A82" s="23"/>
      <c r="B82" s="24"/>
      <c r="C82" s="24"/>
      <c r="D82" s="24"/>
      <c r="E82" s="24"/>
      <c r="F82" s="25"/>
      <c r="G82" s="26" t="str">
        <f aca="false">IF(F82="","",F82*Configuracion!$C$12)</f>
        <v/>
      </c>
    </row>
    <row r="83" customFormat="false" ht="15" hidden="false" customHeight="false" outlineLevel="0" collapsed="false">
      <c r="A83" s="23"/>
      <c r="B83" s="24"/>
      <c r="C83" s="24"/>
      <c r="D83" s="24"/>
      <c r="E83" s="24"/>
      <c r="F83" s="25"/>
      <c r="G83" s="26" t="str">
        <f aca="false">IF(F83="","",F83*Configuracion!$C$12)</f>
        <v/>
      </c>
    </row>
    <row r="84" customFormat="false" ht="15" hidden="false" customHeight="false" outlineLevel="0" collapsed="false">
      <c r="A84" s="23"/>
      <c r="B84" s="24"/>
      <c r="C84" s="24"/>
      <c r="D84" s="24"/>
      <c r="E84" s="24"/>
      <c r="F84" s="25"/>
      <c r="G84" s="26" t="str">
        <f aca="false">IF(F84="","",F84*Configuracion!$C$12)</f>
        <v/>
      </c>
    </row>
    <row r="85" customFormat="false" ht="15" hidden="false" customHeight="false" outlineLevel="0" collapsed="false">
      <c r="A85" s="23"/>
      <c r="B85" s="24"/>
      <c r="C85" s="24"/>
      <c r="D85" s="24"/>
      <c r="E85" s="24"/>
      <c r="F85" s="25"/>
      <c r="G85" s="26" t="str">
        <f aca="false">IF(F85="","",F85*Configuracion!$C$12)</f>
        <v/>
      </c>
    </row>
    <row r="86" customFormat="false" ht="15" hidden="false" customHeight="false" outlineLevel="0" collapsed="false">
      <c r="A86" s="23"/>
      <c r="B86" s="24"/>
      <c r="C86" s="24"/>
      <c r="D86" s="24"/>
      <c r="E86" s="24"/>
      <c r="F86" s="25"/>
      <c r="G86" s="26" t="str">
        <f aca="false">IF(F86="","",F86*Configuracion!$C$12)</f>
        <v/>
      </c>
    </row>
    <row r="87" customFormat="false" ht="15" hidden="false" customHeight="false" outlineLevel="0" collapsed="false">
      <c r="A87" s="23"/>
      <c r="B87" s="24"/>
      <c r="C87" s="24"/>
      <c r="D87" s="24"/>
      <c r="E87" s="24"/>
      <c r="F87" s="25"/>
      <c r="G87" s="26" t="str">
        <f aca="false">IF(F87="","",F87*Configuracion!$C$12)</f>
        <v/>
      </c>
    </row>
    <row r="88" customFormat="false" ht="15" hidden="false" customHeight="false" outlineLevel="0" collapsed="false">
      <c r="A88" s="23"/>
      <c r="B88" s="24"/>
      <c r="C88" s="24"/>
      <c r="D88" s="24"/>
      <c r="E88" s="24"/>
      <c r="F88" s="25"/>
      <c r="G88" s="26" t="str">
        <f aca="false">IF(F88="","",F88*Configuracion!$C$12)</f>
        <v/>
      </c>
    </row>
    <row r="89" customFormat="false" ht="15" hidden="false" customHeight="false" outlineLevel="0" collapsed="false">
      <c r="A89" s="23"/>
      <c r="B89" s="24"/>
      <c r="C89" s="24"/>
      <c r="D89" s="24"/>
      <c r="E89" s="24"/>
      <c r="F89" s="25"/>
      <c r="G89" s="26" t="str">
        <f aca="false">IF(F89="","",F89*Configuracion!$C$12)</f>
        <v/>
      </c>
    </row>
    <row r="90" customFormat="false" ht="15" hidden="false" customHeight="false" outlineLevel="0" collapsed="false">
      <c r="A90" s="23"/>
      <c r="B90" s="24"/>
      <c r="C90" s="24"/>
      <c r="D90" s="24"/>
      <c r="E90" s="24"/>
      <c r="F90" s="25"/>
      <c r="G90" s="26" t="str">
        <f aca="false">IF(F90="","",F90*Configuracion!$C$12)</f>
        <v/>
      </c>
    </row>
    <row r="91" customFormat="false" ht="15" hidden="false" customHeight="false" outlineLevel="0" collapsed="false">
      <c r="A91" s="23"/>
      <c r="B91" s="24"/>
      <c r="C91" s="24"/>
      <c r="D91" s="24"/>
      <c r="E91" s="24"/>
      <c r="F91" s="25"/>
      <c r="G91" s="26" t="str">
        <f aca="false">IF(F91="","",F91*Configuracion!$C$12)</f>
        <v/>
      </c>
    </row>
    <row r="92" customFormat="false" ht="15" hidden="false" customHeight="false" outlineLevel="0" collapsed="false">
      <c r="A92" s="23"/>
      <c r="B92" s="24"/>
      <c r="C92" s="24"/>
      <c r="D92" s="24"/>
      <c r="E92" s="24"/>
      <c r="F92" s="25"/>
      <c r="G92" s="26" t="str">
        <f aca="false">IF(F92="","",F92*Configuracion!$C$12)</f>
        <v/>
      </c>
    </row>
    <row r="93" customFormat="false" ht="15" hidden="false" customHeight="false" outlineLevel="0" collapsed="false">
      <c r="A93" s="23"/>
      <c r="B93" s="24"/>
      <c r="C93" s="24"/>
      <c r="D93" s="24"/>
      <c r="E93" s="24"/>
      <c r="F93" s="25"/>
      <c r="G93" s="26" t="str">
        <f aca="false">IF(F93="","",F93*Configuracion!$C$12)</f>
        <v/>
      </c>
    </row>
    <row r="94" customFormat="false" ht="15" hidden="false" customHeight="false" outlineLevel="0" collapsed="false">
      <c r="A94" s="23"/>
      <c r="B94" s="24"/>
      <c r="C94" s="24"/>
      <c r="D94" s="24"/>
      <c r="E94" s="24"/>
      <c r="F94" s="25"/>
      <c r="G94" s="26" t="str">
        <f aca="false">IF(F94="","",F94*Configuracion!$C$12)</f>
        <v/>
      </c>
    </row>
    <row r="95" customFormat="false" ht="15" hidden="false" customHeight="false" outlineLevel="0" collapsed="false">
      <c r="A95" s="23"/>
      <c r="B95" s="24"/>
      <c r="C95" s="24"/>
      <c r="D95" s="24"/>
      <c r="E95" s="24"/>
      <c r="F95" s="25"/>
      <c r="G95" s="26" t="str">
        <f aca="false">IF(F95="","",F95*Configuracion!$C$12)</f>
        <v/>
      </c>
    </row>
    <row r="96" customFormat="false" ht="15" hidden="false" customHeight="false" outlineLevel="0" collapsed="false">
      <c r="A96" s="23"/>
      <c r="B96" s="24"/>
      <c r="C96" s="24"/>
      <c r="D96" s="24"/>
      <c r="E96" s="24"/>
      <c r="F96" s="25"/>
      <c r="G96" s="26" t="str">
        <f aca="false">IF(F96="","",F96*Configuracion!$C$12)</f>
        <v/>
      </c>
    </row>
    <row r="97" customFormat="false" ht="15" hidden="false" customHeight="false" outlineLevel="0" collapsed="false">
      <c r="A97" s="23"/>
      <c r="B97" s="24"/>
      <c r="C97" s="24"/>
      <c r="D97" s="24"/>
      <c r="E97" s="24"/>
      <c r="F97" s="25"/>
      <c r="G97" s="26" t="str">
        <f aca="false">IF(F97="","",F97*Configuracion!$C$12)</f>
        <v/>
      </c>
    </row>
    <row r="98" customFormat="false" ht="15" hidden="false" customHeight="false" outlineLevel="0" collapsed="false">
      <c r="A98" s="23"/>
      <c r="B98" s="24"/>
      <c r="C98" s="24"/>
      <c r="D98" s="24"/>
      <c r="E98" s="24"/>
      <c r="F98" s="25"/>
      <c r="G98" s="26" t="str">
        <f aca="false">IF(F98="","",F98*Configuracion!$C$12)</f>
        <v/>
      </c>
    </row>
    <row r="99" customFormat="false" ht="15" hidden="false" customHeight="false" outlineLevel="0" collapsed="false">
      <c r="A99" s="23"/>
      <c r="B99" s="24"/>
      <c r="C99" s="24"/>
      <c r="D99" s="24"/>
      <c r="E99" s="24"/>
      <c r="F99" s="25"/>
      <c r="G99" s="26" t="str">
        <f aca="false">IF(F99="","",F99*Configuracion!$C$12)</f>
        <v/>
      </c>
    </row>
    <row r="100" customFormat="false" ht="15" hidden="false" customHeight="false" outlineLevel="0" collapsed="false">
      <c r="A100" s="23"/>
      <c r="B100" s="24"/>
      <c r="C100" s="24"/>
      <c r="D100" s="24"/>
      <c r="E100" s="24"/>
      <c r="F100" s="25"/>
      <c r="G100" s="26" t="str">
        <f aca="false">IF(F100="","",F100*Configuracion!$C$12)</f>
        <v/>
      </c>
    </row>
    <row r="101" customFormat="false" ht="15" hidden="false" customHeight="false" outlineLevel="0" collapsed="false">
      <c r="A101" s="23"/>
      <c r="B101" s="24"/>
      <c r="C101" s="24"/>
      <c r="D101" s="24"/>
      <c r="E101" s="24"/>
      <c r="F101" s="25"/>
      <c r="G101" s="26" t="str">
        <f aca="false">IF(F101="","",F101*Configuracion!$C$12)</f>
        <v/>
      </c>
    </row>
    <row r="102" customFormat="false" ht="15" hidden="false" customHeight="false" outlineLevel="0" collapsed="false">
      <c r="A102" s="23"/>
      <c r="B102" s="24"/>
      <c r="C102" s="24"/>
      <c r="D102" s="24"/>
      <c r="E102" s="24"/>
      <c r="F102" s="25"/>
      <c r="G102" s="26" t="str">
        <f aca="false">IF(F102="","",F102*Configuracion!$C$12)</f>
        <v/>
      </c>
    </row>
    <row r="103" customFormat="false" ht="15" hidden="false" customHeight="false" outlineLevel="0" collapsed="false">
      <c r="A103" s="23"/>
      <c r="B103" s="24"/>
      <c r="C103" s="24"/>
      <c r="D103" s="24"/>
      <c r="E103" s="24"/>
      <c r="F103" s="25"/>
      <c r="G103" s="26" t="str">
        <f aca="false">IF(F103="","",F103*Configuracion!$C$12)</f>
        <v/>
      </c>
    </row>
    <row r="104" customFormat="false" ht="15" hidden="false" customHeight="false" outlineLevel="0" collapsed="false">
      <c r="A104" s="23"/>
      <c r="B104" s="24"/>
      <c r="C104" s="24"/>
      <c r="D104" s="24"/>
      <c r="E104" s="24"/>
      <c r="F104" s="25"/>
      <c r="G104" s="26" t="str">
        <f aca="false">IF(F104="","",F104*Configuracion!$C$12)</f>
        <v/>
      </c>
    </row>
    <row r="105" customFormat="false" ht="15" hidden="false" customHeight="false" outlineLevel="0" collapsed="false">
      <c r="A105" s="23"/>
      <c r="B105" s="24"/>
      <c r="C105" s="24"/>
      <c r="D105" s="24"/>
      <c r="E105" s="24"/>
      <c r="F105" s="25"/>
      <c r="G105" s="26" t="str">
        <f aca="false">IF(F105="","",F105*Configuracion!$C$12)</f>
        <v/>
      </c>
    </row>
    <row r="106" customFormat="false" ht="15" hidden="false" customHeight="false" outlineLevel="0" collapsed="false">
      <c r="A106" s="23"/>
      <c r="B106" s="24"/>
      <c r="C106" s="24"/>
      <c r="D106" s="24"/>
      <c r="E106" s="24"/>
      <c r="F106" s="25"/>
      <c r="G106" s="26" t="str">
        <f aca="false">IF(F106="","",F106*Configuracion!$C$12)</f>
        <v/>
      </c>
    </row>
    <row r="107" customFormat="false" ht="15" hidden="false" customHeight="false" outlineLevel="0" collapsed="false">
      <c r="A107" s="23"/>
      <c r="B107" s="24"/>
      <c r="C107" s="24"/>
      <c r="D107" s="24"/>
      <c r="E107" s="24"/>
      <c r="F107" s="25"/>
      <c r="G107" s="26" t="str">
        <f aca="false">IF(F107="","",F107*Configuracion!$C$12)</f>
        <v/>
      </c>
    </row>
    <row r="108" customFormat="false" ht="15" hidden="false" customHeight="false" outlineLevel="0" collapsed="false">
      <c r="A108" s="23"/>
      <c r="B108" s="24"/>
      <c r="C108" s="24"/>
      <c r="D108" s="24"/>
      <c r="E108" s="24"/>
      <c r="F108" s="25"/>
      <c r="G108" s="26" t="str">
        <f aca="false">IF(F108="","",F108*Configuracion!$C$12)</f>
        <v/>
      </c>
    </row>
    <row r="109" customFormat="false" ht="15" hidden="false" customHeight="false" outlineLevel="0" collapsed="false">
      <c r="A109" s="23"/>
      <c r="B109" s="24"/>
      <c r="C109" s="24"/>
      <c r="D109" s="24"/>
      <c r="E109" s="24"/>
      <c r="F109" s="25"/>
      <c r="G109" s="26" t="str">
        <f aca="false">IF(F109="","",F109*Configuracion!$C$12)</f>
        <v/>
      </c>
    </row>
    <row r="110" customFormat="false" ht="15" hidden="false" customHeight="false" outlineLevel="0" collapsed="false">
      <c r="A110" s="23"/>
      <c r="B110" s="24"/>
      <c r="C110" s="24"/>
      <c r="D110" s="24"/>
      <c r="E110" s="24"/>
      <c r="F110" s="25"/>
      <c r="G110" s="26" t="str">
        <f aca="false">IF(F110="","",F110*Configuracion!$C$12)</f>
        <v/>
      </c>
    </row>
    <row r="111" customFormat="false" ht="15" hidden="false" customHeight="false" outlineLevel="0" collapsed="false">
      <c r="A111" s="23"/>
      <c r="B111" s="24"/>
      <c r="C111" s="24"/>
      <c r="D111" s="24"/>
      <c r="E111" s="24"/>
      <c r="F111" s="25"/>
      <c r="G111" s="26" t="str">
        <f aca="false">IF(F111="","",F111*Configuracion!$C$12)</f>
        <v/>
      </c>
    </row>
    <row r="112" customFormat="false" ht="15" hidden="false" customHeight="false" outlineLevel="0" collapsed="false">
      <c r="A112" s="23"/>
      <c r="B112" s="24"/>
      <c r="C112" s="24"/>
      <c r="D112" s="24"/>
      <c r="E112" s="24"/>
      <c r="F112" s="25"/>
      <c r="G112" s="26" t="str">
        <f aca="false">IF(F112="","",F112*Configuracion!$C$12)</f>
        <v/>
      </c>
    </row>
    <row r="113" customFormat="false" ht="15" hidden="false" customHeight="false" outlineLevel="0" collapsed="false">
      <c r="A113" s="23"/>
      <c r="B113" s="24"/>
      <c r="C113" s="24"/>
      <c r="D113" s="24"/>
      <c r="E113" s="24"/>
      <c r="F113" s="25"/>
      <c r="G113" s="26" t="str">
        <f aca="false">IF(F113="","",F113*Configuracion!$C$12)</f>
        <v/>
      </c>
    </row>
    <row r="114" customFormat="false" ht="15" hidden="false" customHeight="false" outlineLevel="0" collapsed="false">
      <c r="A114" s="23"/>
      <c r="B114" s="24"/>
      <c r="C114" s="24"/>
      <c r="D114" s="24"/>
      <c r="E114" s="24"/>
      <c r="F114" s="25"/>
      <c r="G114" s="26" t="str">
        <f aca="false">IF(F114="","",F114*Configuracion!$C$12)</f>
        <v/>
      </c>
    </row>
    <row r="115" customFormat="false" ht="15" hidden="false" customHeight="false" outlineLevel="0" collapsed="false">
      <c r="A115" s="23"/>
      <c r="B115" s="24"/>
      <c r="C115" s="24"/>
      <c r="D115" s="24"/>
      <c r="E115" s="24"/>
      <c r="F115" s="25"/>
      <c r="G115" s="26" t="str">
        <f aca="false">IF(F115="","",F115*Configuracion!$C$12)</f>
        <v/>
      </c>
    </row>
    <row r="116" customFormat="false" ht="15" hidden="false" customHeight="false" outlineLevel="0" collapsed="false">
      <c r="A116" s="23"/>
      <c r="B116" s="24"/>
      <c r="C116" s="24"/>
      <c r="D116" s="24"/>
      <c r="E116" s="24"/>
      <c r="F116" s="25"/>
      <c r="G116" s="26" t="str">
        <f aca="false">IF(F116="","",F116*Configuracion!$C$12)</f>
        <v/>
      </c>
    </row>
    <row r="117" customFormat="false" ht="15" hidden="false" customHeight="false" outlineLevel="0" collapsed="false">
      <c r="A117" s="23"/>
      <c r="B117" s="24"/>
      <c r="C117" s="24"/>
      <c r="D117" s="24"/>
      <c r="E117" s="24"/>
      <c r="F117" s="25"/>
      <c r="G117" s="26" t="str">
        <f aca="false">IF(F117="","",F117*Configuracion!$C$12)</f>
        <v/>
      </c>
    </row>
    <row r="118" customFormat="false" ht="15" hidden="false" customHeight="false" outlineLevel="0" collapsed="false">
      <c r="A118" s="23"/>
      <c r="B118" s="24"/>
      <c r="C118" s="24"/>
      <c r="D118" s="24"/>
      <c r="E118" s="24"/>
      <c r="F118" s="25"/>
      <c r="G118" s="26" t="str">
        <f aca="false">IF(F118="","",F118*Configuracion!$C$12)</f>
        <v/>
      </c>
    </row>
    <row r="119" customFormat="false" ht="15" hidden="false" customHeight="false" outlineLevel="0" collapsed="false">
      <c r="A119" s="23"/>
      <c r="B119" s="24"/>
      <c r="C119" s="24"/>
      <c r="D119" s="24"/>
      <c r="E119" s="24"/>
      <c r="F119" s="25"/>
      <c r="G119" s="26" t="str">
        <f aca="false">IF(F119="","",F119*Configuracion!$C$12)</f>
        <v/>
      </c>
    </row>
    <row r="120" customFormat="false" ht="15" hidden="false" customHeight="false" outlineLevel="0" collapsed="false">
      <c r="A120" s="23"/>
      <c r="B120" s="24"/>
      <c r="C120" s="24"/>
      <c r="D120" s="24"/>
      <c r="E120" s="24"/>
      <c r="F120" s="25"/>
      <c r="G120" s="26" t="str">
        <f aca="false">IF(F120="","",F120*Configuracion!$C$12)</f>
        <v/>
      </c>
    </row>
    <row r="121" customFormat="false" ht="15" hidden="false" customHeight="false" outlineLevel="0" collapsed="false">
      <c r="A121" s="23"/>
      <c r="B121" s="24"/>
      <c r="C121" s="24"/>
      <c r="D121" s="24"/>
      <c r="E121" s="24"/>
      <c r="F121" s="25"/>
      <c r="G121" s="26" t="str">
        <f aca="false">IF(F121="","",F121*Configuracion!$C$12)</f>
        <v/>
      </c>
    </row>
    <row r="122" customFormat="false" ht="15" hidden="false" customHeight="false" outlineLevel="0" collapsed="false">
      <c r="A122" s="23"/>
      <c r="B122" s="24"/>
      <c r="C122" s="24"/>
      <c r="D122" s="24"/>
      <c r="E122" s="24"/>
      <c r="F122" s="25"/>
      <c r="G122" s="26" t="str">
        <f aca="false">IF(F122="","",F122*Configuracion!$C$12)</f>
        <v/>
      </c>
    </row>
    <row r="123" customFormat="false" ht="15" hidden="false" customHeight="false" outlineLevel="0" collapsed="false">
      <c r="A123" s="23"/>
      <c r="B123" s="24"/>
      <c r="C123" s="24"/>
      <c r="D123" s="24"/>
      <c r="E123" s="24"/>
      <c r="F123" s="25"/>
      <c r="G123" s="26" t="str">
        <f aca="false">IF(F123="","",F123*Configuracion!$C$12)</f>
        <v/>
      </c>
    </row>
    <row r="124" customFormat="false" ht="15" hidden="false" customHeight="false" outlineLevel="0" collapsed="false">
      <c r="A124" s="23"/>
      <c r="B124" s="24"/>
      <c r="C124" s="24"/>
      <c r="D124" s="24"/>
      <c r="E124" s="24"/>
      <c r="F124" s="25"/>
      <c r="G124" s="26" t="str">
        <f aca="false">IF(F124="","",F124*Configuracion!$C$12)</f>
        <v/>
      </c>
    </row>
    <row r="125" customFormat="false" ht="15" hidden="false" customHeight="false" outlineLevel="0" collapsed="false">
      <c r="A125" s="23"/>
      <c r="B125" s="24"/>
      <c r="C125" s="24"/>
      <c r="D125" s="24"/>
      <c r="E125" s="24"/>
      <c r="F125" s="25"/>
      <c r="G125" s="26" t="str">
        <f aca="false">IF(F125="","",F125*Configuracion!$C$12)</f>
        <v/>
      </c>
    </row>
    <row r="126" customFormat="false" ht="15" hidden="false" customHeight="false" outlineLevel="0" collapsed="false">
      <c r="A126" s="23"/>
      <c r="B126" s="24"/>
      <c r="C126" s="24"/>
      <c r="D126" s="24"/>
      <c r="E126" s="24"/>
      <c r="F126" s="25"/>
      <c r="G126" s="26" t="str">
        <f aca="false">IF(F126="","",F126*Configuracion!$C$12)</f>
        <v/>
      </c>
    </row>
    <row r="127" customFormat="false" ht="15" hidden="false" customHeight="false" outlineLevel="0" collapsed="false">
      <c r="A127" s="23"/>
      <c r="B127" s="24"/>
      <c r="C127" s="24"/>
      <c r="D127" s="24"/>
      <c r="E127" s="24"/>
      <c r="F127" s="25"/>
      <c r="G127" s="26" t="str">
        <f aca="false">IF(F127="","",F127*Configuracion!$C$12)</f>
        <v/>
      </c>
    </row>
    <row r="128" customFormat="false" ht="15" hidden="false" customHeight="false" outlineLevel="0" collapsed="false">
      <c r="A128" s="23"/>
      <c r="B128" s="24"/>
      <c r="C128" s="24"/>
      <c r="D128" s="24"/>
      <c r="E128" s="24"/>
      <c r="F128" s="25"/>
      <c r="G128" s="26" t="str">
        <f aca="false">IF(F128="","",F128*Configuracion!$C$12)</f>
        <v/>
      </c>
    </row>
    <row r="129" customFormat="false" ht="15" hidden="false" customHeight="false" outlineLevel="0" collapsed="false">
      <c r="A129" s="23"/>
      <c r="B129" s="24"/>
      <c r="C129" s="24"/>
      <c r="D129" s="24"/>
      <c r="E129" s="24"/>
      <c r="F129" s="25"/>
      <c r="G129" s="26" t="str">
        <f aca="false">IF(F129="","",F129*Configuracion!$C$12)</f>
        <v/>
      </c>
    </row>
    <row r="130" customFormat="false" ht="15" hidden="false" customHeight="false" outlineLevel="0" collapsed="false">
      <c r="A130" s="23"/>
      <c r="B130" s="24"/>
      <c r="C130" s="24"/>
      <c r="D130" s="24"/>
      <c r="E130" s="24"/>
      <c r="F130" s="25"/>
      <c r="G130" s="26" t="str">
        <f aca="false">IF(F130="","",F130*Configuracion!$C$12)</f>
        <v/>
      </c>
    </row>
    <row r="131" customFormat="false" ht="15" hidden="false" customHeight="false" outlineLevel="0" collapsed="false">
      <c r="A131" s="23"/>
      <c r="B131" s="24"/>
      <c r="C131" s="24"/>
      <c r="D131" s="24"/>
      <c r="E131" s="24"/>
      <c r="F131" s="25"/>
      <c r="G131" s="26" t="str">
        <f aca="false">IF(F131="","",F131*Configuracion!$C$12)</f>
        <v/>
      </c>
    </row>
    <row r="132" customFormat="false" ht="15" hidden="false" customHeight="false" outlineLevel="0" collapsed="false">
      <c r="A132" s="23"/>
      <c r="B132" s="24"/>
      <c r="C132" s="24"/>
      <c r="D132" s="24"/>
      <c r="E132" s="24"/>
      <c r="F132" s="25"/>
      <c r="G132" s="26" t="str">
        <f aca="false">IF(F132="","",F132*Configuracion!$C$12)</f>
        <v/>
      </c>
    </row>
    <row r="133" customFormat="false" ht="15" hidden="false" customHeight="false" outlineLevel="0" collapsed="false">
      <c r="A133" s="23"/>
      <c r="B133" s="24"/>
      <c r="C133" s="24"/>
      <c r="D133" s="24"/>
      <c r="E133" s="24"/>
      <c r="F133" s="25"/>
      <c r="G133" s="26" t="str">
        <f aca="false">IF(F133="","",F133*Configuracion!$C$12)</f>
        <v/>
      </c>
    </row>
    <row r="134" customFormat="false" ht="15" hidden="false" customHeight="false" outlineLevel="0" collapsed="false">
      <c r="A134" s="23"/>
      <c r="B134" s="24"/>
      <c r="C134" s="24"/>
      <c r="D134" s="24"/>
      <c r="E134" s="24"/>
      <c r="F134" s="25"/>
      <c r="G134" s="26" t="str">
        <f aca="false">IF(F134="","",F134*Configuracion!$C$12)</f>
        <v/>
      </c>
    </row>
    <row r="135" customFormat="false" ht="15" hidden="false" customHeight="false" outlineLevel="0" collapsed="false">
      <c r="A135" s="23"/>
      <c r="B135" s="24"/>
      <c r="C135" s="24"/>
      <c r="D135" s="24"/>
      <c r="E135" s="24"/>
      <c r="F135" s="25"/>
      <c r="G135" s="26" t="str">
        <f aca="false">IF(F135="","",F135*Configuracion!$C$12)</f>
        <v/>
      </c>
    </row>
    <row r="136" customFormat="false" ht="15" hidden="false" customHeight="false" outlineLevel="0" collapsed="false">
      <c r="A136" s="23"/>
      <c r="B136" s="24"/>
      <c r="C136" s="24"/>
      <c r="D136" s="24"/>
      <c r="E136" s="24"/>
      <c r="F136" s="25"/>
      <c r="G136" s="26" t="str">
        <f aca="false">IF(F136="","",F136*Configuracion!$C$12)</f>
        <v/>
      </c>
    </row>
    <row r="137" customFormat="false" ht="15" hidden="false" customHeight="false" outlineLevel="0" collapsed="false">
      <c r="A137" s="23"/>
      <c r="B137" s="24"/>
      <c r="C137" s="24"/>
      <c r="D137" s="24"/>
      <c r="E137" s="24"/>
      <c r="F137" s="25"/>
      <c r="G137" s="26" t="str">
        <f aca="false">IF(F137="","",F137*Configuracion!$C$12)</f>
        <v/>
      </c>
    </row>
    <row r="138" customFormat="false" ht="15" hidden="false" customHeight="false" outlineLevel="0" collapsed="false">
      <c r="A138" s="23"/>
      <c r="B138" s="24"/>
      <c r="C138" s="24"/>
      <c r="D138" s="24"/>
      <c r="E138" s="24"/>
      <c r="F138" s="25"/>
      <c r="G138" s="26" t="str">
        <f aca="false">IF(F138="","",F138*Configuracion!$C$12)</f>
        <v/>
      </c>
    </row>
    <row r="139" customFormat="false" ht="15" hidden="false" customHeight="false" outlineLevel="0" collapsed="false">
      <c r="A139" s="23"/>
      <c r="B139" s="24"/>
      <c r="C139" s="24"/>
      <c r="D139" s="24"/>
      <c r="E139" s="24"/>
      <c r="F139" s="25"/>
      <c r="G139" s="26" t="str">
        <f aca="false">IF(F139="","",F139*Configuracion!$C$12)</f>
        <v/>
      </c>
    </row>
    <row r="140" customFormat="false" ht="15" hidden="false" customHeight="false" outlineLevel="0" collapsed="false">
      <c r="A140" s="23"/>
      <c r="B140" s="24"/>
      <c r="C140" s="24"/>
      <c r="D140" s="24"/>
      <c r="E140" s="24"/>
      <c r="F140" s="25"/>
      <c r="G140" s="26" t="str">
        <f aca="false">IF(F140="","",F140*Configuracion!$C$12)</f>
        <v/>
      </c>
    </row>
    <row r="141" customFormat="false" ht="15" hidden="false" customHeight="false" outlineLevel="0" collapsed="false">
      <c r="A141" s="23"/>
      <c r="B141" s="24"/>
      <c r="C141" s="24"/>
      <c r="D141" s="24"/>
      <c r="E141" s="24"/>
      <c r="F141" s="25"/>
      <c r="G141" s="26" t="str">
        <f aca="false">IF(F141="","",F141*Configuracion!$C$12)</f>
        <v/>
      </c>
    </row>
    <row r="142" customFormat="false" ht="15" hidden="false" customHeight="false" outlineLevel="0" collapsed="false">
      <c r="A142" s="23"/>
      <c r="B142" s="24"/>
      <c r="C142" s="24"/>
      <c r="D142" s="24"/>
      <c r="E142" s="24"/>
      <c r="F142" s="25"/>
      <c r="G142" s="26" t="str">
        <f aca="false">IF(F142="","",F142*Configuracion!$C$12)</f>
        <v/>
      </c>
    </row>
    <row r="143" customFormat="false" ht="15" hidden="false" customHeight="false" outlineLevel="0" collapsed="false">
      <c r="A143" s="23"/>
      <c r="B143" s="24"/>
      <c r="C143" s="24"/>
      <c r="D143" s="24"/>
      <c r="E143" s="24"/>
      <c r="F143" s="25"/>
      <c r="G143" s="26" t="str">
        <f aca="false">IF(F143="","",F143*Configuracion!$C$12)</f>
        <v/>
      </c>
    </row>
    <row r="144" customFormat="false" ht="15" hidden="false" customHeight="false" outlineLevel="0" collapsed="false">
      <c r="A144" s="23"/>
      <c r="B144" s="24"/>
      <c r="C144" s="24"/>
      <c r="D144" s="24"/>
      <c r="E144" s="24"/>
      <c r="F144" s="25"/>
      <c r="G144" s="26" t="str">
        <f aca="false">IF(F144="","",F144*Configuracion!$C$12)</f>
        <v/>
      </c>
    </row>
    <row r="145" customFormat="false" ht="15" hidden="false" customHeight="false" outlineLevel="0" collapsed="false">
      <c r="A145" s="23"/>
      <c r="B145" s="24"/>
      <c r="C145" s="24"/>
      <c r="D145" s="24"/>
      <c r="E145" s="24"/>
      <c r="F145" s="25"/>
      <c r="G145" s="26" t="str">
        <f aca="false">IF(F145="","",F145*Configuracion!$C$12)</f>
        <v/>
      </c>
    </row>
    <row r="146" customFormat="false" ht="15" hidden="false" customHeight="false" outlineLevel="0" collapsed="false">
      <c r="A146" s="23"/>
      <c r="B146" s="24"/>
      <c r="C146" s="24"/>
      <c r="D146" s="24"/>
      <c r="E146" s="24"/>
      <c r="F146" s="25"/>
      <c r="G146" s="26" t="str">
        <f aca="false">IF(F146="","",F146*Configuracion!$C$12)</f>
        <v/>
      </c>
    </row>
    <row r="147" customFormat="false" ht="15" hidden="false" customHeight="false" outlineLevel="0" collapsed="false">
      <c r="A147" s="23"/>
      <c r="B147" s="24"/>
      <c r="C147" s="24"/>
      <c r="D147" s="24"/>
      <c r="E147" s="24"/>
      <c r="F147" s="25"/>
      <c r="G147" s="26" t="str">
        <f aca="false">IF(F147="","",F147*Configuracion!$C$12)</f>
        <v/>
      </c>
    </row>
    <row r="148" customFormat="false" ht="15" hidden="false" customHeight="false" outlineLevel="0" collapsed="false">
      <c r="A148" s="23"/>
      <c r="B148" s="24"/>
      <c r="C148" s="24"/>
      <c r="D148" s="24"/>
      <c r="E148" s="24"/>
      <c r="F148" s="25"/>
      <c r="G148" s="26" t="str">
        <f aca="false">IF(F148="","",F148*Configuracion!$C$12)</f>
        <v/>
      </c>
    </row>
    <row r="149" customFormat="false" ht="15" hidden="false" customHeight="false" outlineLevel="0" collapsed="false">
      <c r="A149" s="23"/>
      <c r="B149" s="24"/>
      <c r="C149" s="24"/>
      <c r="D149" s="24"/>
      <c r="E149" s="24"/>
      <c r="F149" s="25"/>
      <c r="G149" s="26" t="str">
        <f aca="false">IF(F149="","",F149*Configuracion!$C$12)</f>
        <v/>
      </c>
    </row>
    <row r="150" customFormat="false" ht="15" hidden="false" customHeight="false" outlineLevel="0" collapsed="false">
      <c r="A150" s="23"/>
      <c r="B150" s="24"/>
      <c r="C150" s="24"/>
      <c r="D150" s="24"/>
      <c r="E150" s="24"/>
      <c r="F150" s="25"/>
      <c r="G150" s="26" t="str">
        <f aca="false">IF(F150="","",F150*Configuracion!$C$12)</f>
        <v/>
      </c>
    </row>
    <row r="151" customFormat="false" ht="15" hidden="false" customHeight="false" outlineLevel="0" collapsed="false">
      <c r="A151" s="23"/>
      <c r="B151" s="24"/>
      <c r="C151" s="24"/>
      <c r="D151" s="24"/>
      <c r="E151" s="24"/>
      <c r="F151" s="25"/>
      <c r="G151" s="26" t="str">
        <f aca="false">IF(F151="","",F151*Configuracion!$C$12)</f>
        <v/>
      </c>
    </row>
    <row r="152" customFormat="false" ht="15" hidden="false" customHeight="false" outlineLevel="0" collapsed="false">
      <c r="A152" s="23"/>
      <c r="B152" s="24"/>
      <c r="C152" s="24"/>
      <c r="D152" s="24"/>
      <c r="E152" s="24"/>
      <c r="F152" s="25"/>
      <c r="G152" s="26" t="str">
        <f aca="false">IF(F152="","",F152*Configuracion!$C$12)</f>
        <v/>
      </c>
    </row>
    <row r="153" customFormat="false" ht="15" hidden="false" customHeight="false" outlineLevel="0" collapsed="false">
      <c r="A153" s="23"/>
      <c r="B153" s="24"/>
      <c r="C153" s="24"/>
      <c r="D153" s="24"/>
      <c r="E153" s="24"/>
      <c r="F153" s="25"/>
      <c r="G153" s="26" t="str">
        <f aca="false">IF(F153="","",F153*Configuracion!$C$12)</f>
        <v/>
      </c>
    </row>
    <row r="154" customFormat="false" ht="15" hidden="false" customHeight="false" outlineLevel="0" collapsed="false">
      <c r="A154" s="23"/>
      <c r="B154" s="24"/>
      <c r="C154" s="24"/>
      <c r="D154" s="24"/>
      <c r="E154" s="24"/>
      <c r="F154" s="25"/>
      <c r="G154" s="26" t="str">
        <f aca="false">IF(F154="","",F154*Configuracion!$C$12)</f>
        <v/>
      </c>
    </row>
    <row r="155" customFormat="false" ht="15" hidden="false" customHeight="false" outlineLevel="0" collapsed="false">
      <c r="A155" s="23"/>
      <c r="B155" s="24"/>
      <c r="C155" s="24"/>
      <c r="D155" s="24"/>
      <c r="E155" s="24"/>
      <c r="F155" s="25"/>
      <c r="G155" s="26" t="str">
        <f aca="false">IF(F155="","",F155*Configuracion!$C$12)</f>
        <v/>
      </c>
    </row>
    <row r="156" customFormat="false" ht="15" hidden="false" customHeight="false" outlineLevel="0" collapsed="false">
      <c r="A156" s="23"/>
      <c r="B156" s="24"/>
      <c r="C156" s="24"/>
      <c r="D156" s="24"/>
      <c r="E156" s="24"/>
      <c r="F156" s="25"/>
      <c r="G156" s="26" t="str">
        <f aca="false">IF(F156="","",F156*Configuracion!$C$12)</f>
        <v/>
      </c>
    </row>
    <row r="157" customFormat="false" ht="15" hidden="false" customHeight="false" outlineLevel="0" collapsed="false">
      <c r="A157" s="23"/>
      <c r="B157" s="24"/>
      <c r="C157" s="24"/>
      <c r="D157" s="24"/>
      <c r="E157" s="24"/>
      <c r="F157" s="25"/>
      <c r="G157" s="26" t="str">
        <f aca="false">IF(F157="","",F157*Configuracion!$C$12)</f>
        <v/>
      </c>
    </row>
    <row r="158" customFormat="false" ht="15" hidden="false" customHeight="false" outlineLevel="0" collapsed="false">
      <c r="A158" s="23"/>
      <c r="B158" s="24"/>
      <c r="C158" s="24"/>
      <c r="D158" s="24"/>
      <c r="E158" s="24"/>
      <c r="F158" s="25"/>
      <c r="G158" s="26" t="str">
        <f aca="false">IF(F158="","",F158*Configuracion!$C$12)</f>
        <v/>
      </c>
    </row>
    <row r="159" customFormat="false" ht="15" hidden="false" customHeight="false" outlineLevel="0" collapsed="false">
      <c r="A159" s="23"/>
      <c r="B159" s="24"/>
      <c r="C159" s="24"/>
      <c r="D159" s="24"/>
      <c r="E159" s="24"/>
      <c r="F159" s="25"/>
      <c r="G159" s="26" t="str">
        <f aca="false">IF(F159="","",F159*Configuracion!$C$12)</f>
        <v/>
      </c>
    </row>
    <row r="160" customFormat="false" ht="15" hidden="false" customHeight="false" outlineLevel="0" collapsed="false">
      <c r="A160" s="23"/>
      <c r="B160" s="24"/>
      <c r="C160" s="24"/>
      <c r="D160" s="24"/>
      <c r="E160" s="24"/>
      <c r="F160" s="25"/>
      <c r="G160" s="26" t="str">
        <f aca="false">IF(F160="","",F160*Configuracion!$C$12)</f>
        <v/>
      </c>
    </row>
    <row r="161" customFormat="false" ht="15" hidden="false" customHeight="false" outlineLevel="0" collapsed="false">
      <c r="A161" s="23"/>
      <c r="B161" s="24"/>
      <c r="C161" s="24"/>
      <c r="D161" s="24"/>
      <c r="E161" s="24"/>
      <c r="F161" s="25"/>
      <c r="G161" s="26" t="str">
        <f aca="false">IF(F161="","",F161*Configuracion!$C$12)</f>
        <v/>
      </c>
    </row>
    <row r="162" customFormat="false" ht="15" hidden="false" customHeight="false" outlineLevel="0" collapsed="false">
      <c r="A162" s="23"/>
      <c r="B162" s="24"/>
      <c r="C162" s="24"/>
      <c r="D162" s="24"/>
      <c r="E162" s="24"/>
      <c r="F162" s="25"/>
      <c r="G162" s="26" t="str">
        <f aca="false">IF(F162="","",F162*Configuracion!$C$12)</f>
        <v/>
      </c>
    </row>
    <row r="163" customFormat="false" ht="15" hidden="false" customHeight="false" outlineLevel="0" collapsed="false">
      <c r="A163" s="23"/>
      <c r="B163" s="24"/>
      <c r="C163" s="24"/>
      <c r="D163" s="24"/>
      <c r="E163" s="24"/>
      <c r="F163" s="25"/>
      <c r="G163" s="26" t="str">
        <f aca="false">IF(F163="","",F163*Configuracion!$C$12)</f>
        <v/>
      </c>
    </row>
    <row r="164" customFormat="false" ht="15" hidden="false" customHeight="false" outlineLevel="0" collapsed="false">
      <c r="A164" s="23"/>
      <c r="B164" s="24"/>
      <c r="C164" s="24"/>
      <c r="D164" s="24"/>
      <c r="E164" s="24"/>
      <c r="F164" s="25"/>
      <c r="G164" s="26" t="str">
        <f aca="false">IF(F164="","",F164*Configuracion!$C$12)</f>
        <v/>
      </c>
    </row>
    <row r="165" customFormat="false" ht="15" hidden="false" customHeight="false" outlineLevel="0" collapsed="false">
      <c r="A165" s="23"/>
      <c r="B165" s="24"/>
      <c r="C165" s="24"/>
      <c r="D165" s="24"/>
      <c r="E165" s="24"/>
      <c r="F165" s="25"/>
      <c r="G165" s="26" t="str">
        <f aca="false">IF(F165="","",F165*Configuracion!$C$12)</f>
        <v/>
      </c>
    </row>
    <row r="166" customFormat="false" ht="15" hidden="false" customHeight="false" outlineLevel="0" collapsed="false">
      <c r="A166" s="23"/>
      <c r="B166" s="24"/>
      <c r="C166" s="24"/>
      <c r="D166" s="24"/>
      <c r="E166" s="24"/>
      <c r="F166" s="25"/>
      <c r="G166" s="26" t="str">
        <f aca="false">IF(F166="","",F166*Configuracion!$C$12)</f>
        <v/>
      </c>
    </row>
    <row r="167" customFormat="false" ht="15" hidden="false" customHeight="false" outlineLevel="0" collapsed="false">
      <c r="A167" s="23"/>
      <c r="B167" s="24"/>
      <c r="C167" s="24"/>
      <c r="D167" s="24"/>
      <c r="E167" s="24"/>
      <c r="F167" s="25"/>
      <c r="G167" s="26" t="str">
        <f aca="false">IF(F167="","",F167*Configuracion!$C$12)</f>
        <v/>
      </c>
    </row>
    <row r="168" customFormat="false" ht="15" hidden="false" customHeight="false" outlineLevel="0" collapsed="false">
      <c r="A168" s="23"/>
      <c r="B168" s="24"/>
      <c r="C168" s="24"/>
      <c r="D168" s="24"/>
      <c r="E168" s="24"/>
      <c r="F168" s="25"/>
      <c r="G168" s="26" t="str">
        <f aca="false">IF(F168="","",F168*Configuracion!$C$12)</f>
        <v/>
      </c>
    </row>
    <row r="169" customFormat="false" ht="15" hidden="false" customHeight="false" outlineLevel="0" collapsed="false">
      <c r="A169" s="23"/>
      <c r="B169" s="24"/>
      <c r="C169" s="24"/>
      <c r="D169" s="24"/>
      <c r="E169" s="24"/>
      <c r="F169" s="25"/>
      <c r="G169" s="26" t="str">
        <f aca="false">IF(F169="","",F169*Configuracion!$C$12)</f>
        <v/>
      </c>
    </row>
    <row r="170" customFormat="false" ht="15" hidden="false" customHeight="false" outlineLevel="0" collapsed="false">
      <c r="A170" s="23"/>
      <c r="B170" s="24"/>
      <c r="C170" s="24"/>
      <c r="D170" s="24"/>
      <c r="E170" s="24"/>
      <c r="F170" s="25"/>
      <c r="G170" s="26" t="str">
        <f aca="false">IF(F170="","",F170*Configuracion!$C$12)</f>
        <v/>
      </c>
    </row>
    <row r="171" customFormat="false" ht="15" hidden="false" customHeight="false" outlineLevel="0" collapsed="false">
      <c r="A171" s="23"/>
      <c r="B171" s="24"/>
      <c r="C171" s="24"/>
      <c r="D171" s="24"/>
      <c r="E171" s="24"/>
      <c r="F171" s="25"/>
      <c r="G171" s="26" t="str">
        <f aca="false">IF(F171="","",F171*Configuracion!$C$12)</f>
        <v/>
      </c>
    </row>
    <row r="172" customFormat="false" ht="15" hidden="false" customHeight="false" outlineLevel="0" collapsed="false">
      <c r="A172" s="23"/>
      <c r="B172" s="24"/>
      <c r="C172" s="24"/>
      <c r="D172" s="24"/>
      <c r="E172" s="24"/>
      <c r="F172" s="25"/>
      <c r="G172" s="26" t="str">
        <f aca="false">IF(F172="","",F172*Configuracion!$C$12)</f>
        <v/>
      </c>
    </row>
    <row r="173" customFormat="false" ht="15" hidden="false" customHeight="false" outlineLevel="0" collapsed="false">
      <c r="A173" s="23"/>
      <c r="B173" s="24"/>
      <c r="C173" s="24"/>
      <c r="D173" s="24"/>
      <c r="E173" s="24"/>
      <c r="F173" s="25"/>
      <c r="G173" s="26" t="str">
        <f aca="false">IF(F173="","",F173*Configuracion!$C$12)</f>
        <v/>
      </c>
    </row>
    <row r="174" customFormat="false" ht="15" hidden="false" customHeight="false" outlineLevel="0" collapsed="false">
      <c r="A174" s="23"/>
      <c r="B174" s="24"/>
      <c r="C174" s="24"/>
      <c r="D174" s="24"/>
      <c r="E174" s="24"/>
      <c r="F174" s="25"/>
      <c r="G174" s="26" t="str">
        <f aca="false">IF(F174="","",F174*Configuracion!$C$12)</f>
        <v/>
      </c>
    </row>
    <row r="175" customFormat="false" ht="15" hidden="false" customHeight="false" outlineLevel="0" collapsed="false">
      <c r="A175" s="23"/>
      <c r="B175" s="24"/>
      <c r="C175" s="24"/>
      <c r="D175" s="24"/>
      <c r="E175" s="24"/>
      <c r="F175" s="25"/>
      <c r="G175" s="26" t="str">
        <f aca="false">IF(F175="","",F175*Configuracion!$C$12)</f>
        <v/>
      </c>
    </row>
    <row r="176" customFormat="false" ht="15" hidden="false" customHeight="false" outlineLevel="0" collapsed="false">
      <c r="A176" s="23"/>
      <c r="B176" s="24"/>
      <c r="C176" s="24"/>
      <c r="D176" s="24"/>
      <c r="E176" s="24"/>
      <c r="F176" s="25"/>
      <c r="G176" s="26" t="str">
        <f aca="false">IF(F176="","",F176*Configuracion!$C$12)</f>
        <v/>
      </c>
    </row>
    <row r="177" customFormat="false" ht="15" hidden="false" customHeight="false" outlineLevel="0" collapsed="false">
      <c r="A177" s="23"/>
      <c r="B177" s="24"/>
      <c r="C177" s="24"/>
      <c r="D177" s="24"/>
      <c r="E177" s="24"/>
      <c r="F177" s="25"/>
      <c r="G177" s="26" t="str">
        <f aca="false">IF(F177="","",F177*Configuracion!$C$12)</f>
        <v/>
      </c>
    </row>
    <row r="178" customFormat="false" ht="15" hidden="false" customHeight="false" outlineLevel="0" collapsed="false">
      <c r="A178" s="23"/>
      <c r="B178" s="24"/>
      <c r="C178" s="24"/>
      <c r="D178" s="24"/>
      <c r="E178" s="24"/>
      <c r="F178" s="25"/>
      <c r="G178" s="26" t="str">
        <f aca="false">IF(F178="","",F178*Configuracion!$C$12)</f>
        <v/>
      </c>
    </row>
    <row r="179" customFormat="false" ht="15" hidden="false" customHeight="false" outlineLevel="0" collapsed="false">
      <c r="A179" s="23"/>
      <c r="B179" s="24"/>
      <c r="C179" s="24"/>
      <c r="D179" s="24"/>
      <c r="E179" s="24"/>
      <c r="F179" s="25"/>
      <c r="G179" s="26" t="str">
        <f aca="false">IF(F179="","",F179*Configuracion!$C$12)</f>
        <v/>
      </c>
    </row>
    <row r="180" customFormat="false" ht="15" hidden="false" customHeight="false" outlineLevel="0" collapsed="false">
      <c r="A180" s="23"/>
      <c r="B180" s="24"/>
      <c r="C180" s="24"/>
      <c r="D180" s="24"/>
      <c r="E180" s="24"/>
      <c r="F180" s="25"/>
      <c r="G180" s="26" t="str">
        <f aca="false">IF(F180="","",F180*Configuracion!$C$12)</f>
        <v/>
      </c>
    </row>
    <row r="181" customFormat="false" ht="15" hidden="false" customHeight="false" outlineLevel="0" collapsed="false">
      <c r="A181" s="23"/>
      <c r="B181" s="24"/>
      <c r="C181" s="24"/>
      <c r="D181" s="24"/>
      <c r="E181" s="24"/>
      <c r="F181" s="25"/>
      <c r="G181" s="26" t="str">
        <f aca="false">IF(F181="","",F181*Configuracion!$C$12)</f>
        <v/>
      </c>
    </row>
    <row r="182" customFormat="false" ht="15" hidden="false" customHeight="false" outlineLevel="0" collapsed="false">
      <c r="A182" s="23"/>
      <c r="B182" s="24"/>
      <c r="C182" s="24"/>
      <c r="D182" s="24"/>
      <c r="E182" s="24"/>
      <c r="F182" s="25"/>
      <c r="G182" s="26" t="str">
        <f aca="false">IF(F182="","",F182*Configuracion!$C$12)</f>
        <v/>
      </c>
    </row>
    <row r="183" customFormat="false" ht="15" hidden="false" customHeight="false" outlineLevel="0" collapsed="false">
      <c r="A183" s="23"/>
      <c r="B183" s="24"/>
      <c r="C183" s="24"/>
      <c r="D183" s="24"/>
      <c r="E183" s="24"/>
      <c r="F183" s="25"/>
      <c r="G183" s="26" t="str">
        <f aca="false">IF(F183="","",F183*Configuracion!$C$12)</f>
        <v/>
      </c>
    </row>
    <row r="184" customFormat="false" ht="15" hidden="false" customHeight="false" outlineLevel="0" collapsed="false">
      <c r="A184" s="23"/>
      <c r="B184" s="24"/>
      <c r="C184" s="24"/>
      <c r="D184" s="24"/>
      <c r="E184" s="24"/>
      <c r="F184" s="25"/>
      <c r="G184" s="26" t="str">
        <f aca="false">IF(F184="","",F184*Configuracion!$C$12)</f>
        <v/>
      </c>
    </row>
    <row r="185" customFormat="false" ht="15" hidden="false" customHeight="false" outlineLevel="0" collapsed="false">
      <c r="A185" s="23"/>
      <c r="B185" s="24"/>
      <c r="C185" s="24"/>
      <c r="D185" s="24"/>
      <c r="E185" s="24"/>
      <c r="F185" s="25"/>
      <c r="G185" s="26" t="str">
        <f aca="false">IF(F185="","",F185*Configuracion!$C$12)</f>
        <v/>
      </c>
    </row>
    <row r="186" customFormat="false" ht="15" hidden="false" customHeight="false" outlineLevel="0" collapsed="false">
      <c r="A186" s="23"/>
      <c r="B186" s="24"/>
      <c r="C186" s="24"/>
      <c r="D186" s="24"/>
      <c r="E186" s="24"/>
      <c r="F186" s="25"/>
      <c r="G186" s="26" t="str">
        <f aca="false">IF(F186="","",F186*Configuracion!$C$12)</f>
        <v/>
      </c>
    </row>
    <row r="187" customFormat="false" ht="15" hidden="false" customHeight="false" outlineLevel="0" collapsed="false">
      <c r="A187" s="23"/>
      <c r="B187" s="24"/>
      <c r="C187" s="24"/>
      <c r="D187" s="24"/>
      <c r="E187" s="24"/>
      <c r="F187" s="25"/>
      <c r="G187" s="26" t="str">
        <f aca="false">IF(F187="","",F187*Configuracion!$C$12)</f>
        <v/>
      </c>
    </row>
    <row r="188" customFormat="false" ht="15" hidden="false" customHeight="false" outlineLevel="0" collapsed="false">
      <c r="A188" s="23"/>
      <c r="B188" s="24"/>
      <c r="C188" s="24"/>
      <c r="D188" s="24"/>
      <c r="E188" s="24"/>
      <c r="F188" s="25"/>
      <c r="G188" s="26" t="str">
        <f aca="false">IF(F188="","",F188*Configuracion!$C$12)</f>
        <v/>
      </c>
    </row>
    <row r="189" customFormat="false" ht="15" hidden="false" customHeight="false" outlineLevel="0" collapsed="false">
      <c r="A189" s="23"/>
      <c r="B189" s="24"/>
      <c r="C189" s="24"/>
      <c r="D189" s="24"/>
      <c r="E189" s="24"/>
      <c r="F189" s="25"/>
      <c r="G189" s="26" t="str">
        <f aca="false">IF(F189="","",F189*Configuracion!$C$12)</f>
        <v/>
      </c>
    </row>
    <row r="190" customFormat="false" ht="15" hidden="false" customHeight="false" outlineLevel="0" collapsed="false">
      <c r="A190" s="23"/>
      <c r="B190" s="24"/>
      <c r="C190" s="24"/>
      <c r="D190" s="24"/>
      <c r="E190" s="24"/>
      <c r="F190" s="25"/>
      <c r="G190" s="26" t="str">
        <f aca="false">IF(F190="","",F190*Configuracion!$C$12)</f>
        <v/>
      </c>
    </row>
    <row r="191" customFormat="false" ht="15" hidden="false" customHeight="false" outlineLevel="0" collapsed="false">
      <c r="A191" s="23"/>
      <c r="B191" s="24"/>
      <c r="C191" s="24"/>
      <c r="D191" s="24"/>
      <c r="E191" s="24"/>
      <c r="F191" s="25"/>
      <c r="G191" s="26" t="str">
        <f aca="false">IF(F191="","",F191*Configuracion!$C$12)</f>
        <v/>
      </c>
    </row>
    <row r="192" customFormat="false" ht="15" hidden="false" customHeight="false" outlineLevel="0" collapsed="false">
      <c r="A192" s="23"/>
      <c r="B192" s="24"/>
      <c r="C192" s="24"/>
      <c r="D192" s="24"/>
      <c r="E192" s="24"/>
      <c r="F192" s="25"/>
      <c r="G192" s="26" t="str">
        <f aca="false">IF(F192="","",F192*Configuracion!$C$12)</f>
        <v/>
      </c>
    </row>
    <row r="193" customFormat="false" ht="15" hidden="false" customHeight="false" outlineLevel="0" collapsed="false">
      <c r="A193" s="23"/>
      <c r="B193" s="24"/>
      <c r="C193" s="24"/>
      <c r="D193" s="24"/>
      <c r="E193" s="24"/>
      <c r="F193" s="25"/>
      <c r="G193" s="26" t="str">
        <f aca="false">IF(F193="","",F193*Configuracion!$C$12)</f>
        <v/>
      </c>
    </row>
    <row r="194" customFormat="false" ht="15" hidden="false" customHeight="false" outlineLevel="0" collapsed="false">
      <c r="A194" s="23"/>
      <c r="B194" s="24"/>
      <c r="C194" s="24"/>
      <c r="D194" s="24"/>
      <c r="E194" s="24"/>
      <c r="F194" s="25"/>
      <c r="G194" s="26" t="str">
        <f aca="false">IF(F194="","",F194*Configuracion!$C$12)</f>
        <v/>
      </c>
    </row>
    <row r="195" customFormat="false" ht="15" hidden="false" customHeight="false" outlineLevel="0" collapsed="false">
      <c r="A195" s="23"/>
      <c r="B195" s="24"/>
      <c r="C195" s="24"/>
      <c r="D195" s="24"/>
      <c r="E195" s="24"/>
      <c r="F195" s="25"/>
      <c r="G195" s="26" t="str">
        <f aca="false">IF(F195="","",F195*Configuracion!$C$12)</f>
        <v/>
      </c>
    </row>
    <row r="196" customFormat="false" ht="15" hidden="false" customHeight="false" outlineLevel="0" collapsed="false">
      <c r="A196" s="23"/>
      <c r="B196" s="24"/>
      <c r="C196" s="24"/>
      <c r="D196" s="24"/>
      <c r="E196" s="24"/>
      <c r="F196" s="25"/>
      <c r="G196" s="26" t="str">
        <f aca="false">IF(F196="","",F196*Configuracion!$C$12)</f>
        <v/>
      </c>
    </row>
    <row r="197" customFormat="false" ht="15" hidden="false" customHeight="false" outlineLevel="0" collapsed="false">
      <c r="A197" s="23"/>
      <c r="B197" s="24"/>
      <c r="C197" s="24"/>
      <c r="D197" s="24"/>
      <c r="E197" s="24"/>
      <c r="F197" s="25"/>
      <c r="G197" s="26" t="str">
        <f aca="false">IF(F197="","",F197*Configuracion!$C$12)</f>
        <v/>
      </c>
    </row>
    <row r="198" customFormat="false" ht="15" hidden="false" customHeight="false" outlineLevel="0" collapsed="false">
      <c r="A198" s="23"/>
      <c r="B198" s="24"/>
      <c r="C198" s="24"/>
      <c r="D198" s="24"/>
      <c r="E198" s="24"/>
      <c r="F198" s="25"/>
      <c r="G198" s="26" t="str">
        <f aca="false">IF(F198="","",F198*Configuracion!$C$12)</f>
        <v/>
      </c>
    </row>
    <row r="199" customFormat="false" ht="15" hidden="false" customHeight="false" outlineLevel="0" collapsed="false">
      <c r="A199" s="23"/>
      <c r="B199" s="24"/>
      <c r="C199" s="24"/>
      <c r="D199" s="24"/>
      <c r="E199" s="24"/>
      <c r="F199" s="25"/>
      <c r="G199" s="26" t="str">
        <f aca="false">IF(F199="","",F199*Configuracion!$C$12)</f>
        <v/>
      </c>
    </row>
    <row r="200" customFormat="false" ht="15" hidden="false" customHeight="false" outlineLevel="0" collapsed="false">
      <c r="A200" s="23"/>
      <c r="B200" s="24"/>
      <c r="C200" s="24"/>
      <c r="D200" s="24"/>
      <c r="E200" s="24"/>
      <c r="F200" s="25"/>
      <c r="G200" s="26" t="str">
        <f aca="false">IF(F200="","",F200*Configuracion!$C$12)</f>
        <v/>
      </c>
    </row>
  </sheetData>
  <sheetProtection sheet="true" formatCells="false" formatColumns="false" formatRows="false" insertRows="false" selectLockedCells="true" selectUnlockedCells="true"/>
  <mergeCells count="2">
    <mergeCell ref="A2:G2"/>
    <mergeCell ref="A3:G3"/>
  </mergeCells>
  <dataValidations count="4">
    <dataValidation allowBlank="true" errorStyle="stop" operator="between" showDropDown="false" showErrorMessage="false" showInputMessage="false" sqref="B5:B200" type="list">
      <formula1>Categorias!$B$5:$B$18</formula1>
      <formula2>0</formula2>
    </dataValidation>
    <dataValidation allowBlank="true" errorStyle="stop" operator="between" showDropDown="false" showErrorMessage="false" showInputMessage="false" sqref="C5:C200" type="list">
      <formula1>"Ingreso,Gasto"</formula1>
      <formula2>0</formula2>
    </dataValidation>
    <dataValidation allowBlank="true" errorStyle="stop" operator="between" showDropDown="false" showErrorMessage="false" showInputMessage="false" sqref="E5:E200" type="list">
      <formula1>Categorias!$C$5:$C$8</formula1>
      <formula2>0</formula2>
    </dataValidation>
    <dataValidation allowBlank="true" error="Ingresa un número igual o mayor a 0." errorStyle="stop" errorTitle="Monto inválido" operator="greaterThanOrEqual" showDropDown="false" showErrorMessage="true" showInputMessage="false" sqref="F5:F200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8" t="s">
        <v>105</v>
      </c>
      <c r="C2" s="8"/>
      <c r="D2" s="8"/>
      <c r="E2" s="8"/>
      <c r="F2" s="8"/>
    </row>
    <row r="3" customFormat="false" ht="15" hidden="false" customHeight="false" outlineLevel="0" collapsed="false">
      <c r="B3" s="7" t="s">
        <v>106</v>
      </c>
      <c r="C3" s="7"/>
      <c r="D3" s="7"/>
      <c r="E3" s="7"/>
      <c r="F3" s="7"/>
    </row>
    <row r="5" customFormat="false" ht="19.5" hidden="false" customHeight="true" outlineLevel="0" collapsed="false">
      <c r="B5" s="27" t="s">
        <v>107</v>
      </c>
      <c r="C5" s="27"/>
      <c r="D5" s="27"/>
      <c r="E5" s="27"/>
    </row>
    <row r="6" customFormat="false" ht="18" hidden="false" customHeight="true" outlineLevel="0" collapsed="false">
      <c r="B6" s="10" t="s">
        <v>82</v>
      </c>
      <c r="C6" s="10" t="s">
        <v>108</v>
      </c>
      <c r="D6" s="10" t="s">
        <v>109</v>
      </c>
      <c r="E6" s="10" t="s">
        <v>110</v>
      </c>
    </row>
    <row r="7" customFormat="false" ht="15" hidden="false" customHeight="false" outlineLevel="0" collapsed="false">
      <c r="B7" s="28" t="str">
        <f aca="false">Categorias!$B$5</f>
        <v>Salario</v>
      </c>
      <c r="C7" s="29" t="n">
        <f aca="false">SUMIFS(Transacciones!$G$5:$G$200,Transacciones!$B$5:$B$200,$B7,Transacciones!$C$5:$C$200,"Ingreso")</f>
        <v>13600</v>
      </c>
      <c r="D7" s="29" t="n">
        <f aca="false">SUMIFS(Transacciones!$G$5:$G$200,Transacciones!$B$5:$B$200,$B7,Transacciones!$C$5:$C$200,"Gasto")</f>
        <v>0</v>
      </c>
      <c r="E7" s="29" t="n">
        <f aca="false">C7-D7</f>
        <v>13600</v>
      </c>
    </row>
    <row r="8" customFormat="false" ht="15" hidden="false" customHeight="false" outlineLevel="0" collapsed="false">
      <c r="B8" s="28" t="str">
        <f aca="false">Categorias!$B$6</f>
        <v>Freelance / Ingresos extra</v>
      </c>
      <c r="C8" s="29" t="n">
        <f aca="false">SUMIFS(Transacciones!$G$5:$G$200,Transacciones!$B$5:$B$200,$B8,Transacciones!$C$5:$C$200,"Ingreso")</f>
        <v>350</v>
      </c>
      <c r="D8" s="29" t="n">
        <f aca="false">SUMIFS(Transacciones!$G$5:$G$200,Transacciones!$B$5:$B$200,$B8,Transacciones!$C$5:$C$200,"Gasto")</f>
        <v>0</v>
      </c>
      <c r="E8" s="29" t="n">
        <f aca="false">C8-D8</f>
        <v>350</v>
      </c>
    </row>
    <row r="9" customFormat="false" ht="15" hidden="false" customHeight="false" outlineLevel="0" collapsed="false">
      <c r="B9" s="28" t="str">
        <f aca="false">Categorias!$B$7</f>
        <v>Otros ingresos</v>
      </c>
      <c r="C9" s="29" t="n">
        <f aca="false">SUMIFS(Transacciones!$G$5:$G$200,Transacciones!$B$5:$B$200,$B9,Transacciones!$C$5:$C$200,"Ingreso")</f>
        <v>150</v>
      </c>
      <c r="D9" s="29" t="n">
        <f aca="false">SUMIFS(Transacciones!$G$5:$G$200,Transacciones!$B$5:$B$200,$B9,Transacciones!$C$5:$C$200,"Gasto")</f>
        <v>0</v>
      </c>
      <c r="E9" s="29" t="n">
        <f aca="false">C9-D9</f>
        <v>150</v>
      </c>
    </row>
    <row r="10" customFormat="false" ht="15" hidden="false" customHeight="false" outlineLevel="0" collapsed="false">
      <c r="B10" s="28" t="str">
        <f aca="false">Categorias!$B$8</f>
        <v>Vivienda (alquiler/hipoteca)</v>
      </c>
      <c r="C10" s="29" t="n">
        <f aca="false">SUMIFS(Transacciones!$G$5:$G$200,Transacciones!$B$5:$B$200,$B10,Transacciones!$C$5:$C$200,"Ingreso")</f>
        <v>0</v>
      </c>
      <c r="D10" s="29" t="n">
        <f aca="false">SUMIFS(Transacciones!$G$5:$G$200,Transacciones!$B$5:$B$200,$B10,Transacciones!$C$5:$C$200,"Gasto")</f>
        <v>3600</v>
      </c>
      <c r="E10" s="29" t="n">
        <f aca="false">C10-D10</f>
        <v>-3600</v>
      </c>
    </row>
    <row r="11" customFormat="false" ht="15" hidden="false" customHeight="false" outlineLevel="0" collapsed="false">
      <c r="B11" s="28" t="str">
        <f aca="false">Categorias!$B$9</f>
        <v>Alimentación</v>
      </c>
      <c r="C11" s="29" t="n">
        <f aca="false">SUMIFS(Transacciones!$G$5:$G$200,Transacciones!$B$5:$B$200,$B11,Transacciones!$C$5:$C$200,"Ingreso")</f>
        <v>0</v>
      </c>
      <c r="D11" s="29" t="n">
        <f aca="false">SUMIFS(Transacciones!$G$5:$G$200,Transacciones!$B$5:$B$200,$B11,Transacciones!$C$5:$C$200,"Gasto")</f>
        <v>585</v>
      </c>
      <c r="E11" s="29" t="n">
        <f aca="false">C11-D11</f>
        <v>-585</v>
      </c>
    </row>
    <row r="12" customFormat="false" ht="15" hidden="false" customHeight="false" outlineLevel="0" collapsed="false">
      <c r="B12" s="28" t="str">
        <f aca="false">Categorias!$B$10</f>
        <v>Transporte</v>
      </c>
      <c r="C12" s="29" t="n">
        <f aca="false">SUMIFS(Transacciones!$G$5:$G$200,Transacciones!$B$5:$B$200,$B12,Transacciones!$C$5:$C$200,"Ingreso")</f>
        <v>0</v>
      </c>
      <c r="D12" s="29" t="n">
        <f aca="false">SUMIFS(Transacciones!$G$5:$G$200,Transacciones!$B$5:$B$200,$B12,Transacciones!$C$5:$C$200,"Gasto")</f>
        <v>180</v>
      </c>
      <c r="E12" s="29" t="n">
        <f aca="false">C12-D12</f>
        <v>-180</v>
      </c>
    </row>
    <row r="13" customFormat="false" ht="15" hidden="false" customHeight="false" outlineLevel="0" collapsed="false">
      <c r="B13" s="28" t="str">
        <f aca="false">Categorias!$B$11</f>
        <v>Servicios (luz, agua, internet)</v>
      </c>
      <c r="C13" s="29" t="n">
        <f aca="false">SUMIFS(Transacciones!$G$5:$G$200,Transacciones!$B$5:$B$200,$B13,Transacciones!$C$5:$C$200,"Ingreso")</f>
        <v>0</v>
      </c>
      <c r="D13" s="29" t="n">
        <f aca="false">SUMIFS(Transacciones!$G$5:$G$200,Transacciones!$B$5:$B$200,$B13,Transacciones!$C$5:$C$200,"Gasto")</f>
        <v>75</v>
      </c>
      <c r="E13" s="29" t="n">
        <f aca="false">C13-D13</f>
        <v>-75</v>
      </c>
    </row>
    <row r="14" customFormat="false" ht="15" hidden="false" customHeight="false" outlineLevel="0" collapsed="false">
      <c r="B14" s="28" t="str">
        <f aca="false">Categorias!$B$12</f>
        <v>Salud</v>
      </c>
      <c r="C14" s="29" t="n">
        <f aca="false">SUMIFS(Transacciones!$G$5:$G$200,Transacciones!$B$5:$B$200,$B14,Transacciones!$C$5:$C$200,"Ingreso")</f>
        <v>0</v>
      </c>
      <c r="D14" s="29" t="n">
        <f aca="false">SUMIFS(Transacciones!$G$5:$G$200,Transacciones!$B$5:$B$200,$B14,Transacciones!$C$5:$C$200,"Gasto")</f>
        <v>90</v>
      </c>
      <c r="E14" s="29" t="n">
        <f aca="false">C14-D14</f>
        <v>-90</v>
      </c>
    </row>
    <row r="15" customFormat="false" ht="15" hidden="false" customHeight="false" outlineLevel="0" collapsed="false">
      <c r="B15" s="28" t="str">
        <f aca="false">Categorias!$B$13</f>
        <v>Educación</v>
      </c>
      <c r="C15" s="29" t="n">
        <f aca="false">SUMIFS(Transacciones!$G$5:$G$200,Transacciones!$B$5:$B$200,$B15,Transacciones!$C$5:$C$200,"Ingreso")</f>
        <v>0</v>
      </c>
      <c r="D15" s="29" t="n">
        <f aca="false">SUMIFS(Transacciones!$G$5:$G$200,Transacciones!$B$5:$B$200,$B15,Transacciones!$C$5:$C$200,"Gasto")</f>
        <v>80</v>
      </c>
      <c r="E15" s="29" t="n">
        <f aca="false">C15-D15</f>
        <v>-80</v>
      </c>
    </row>
    <row r="16" customFormat="false" ht="15" hidden="false" customHeight="false" outlineLevel="0" collapsed="false">
      <c r="B16" s="28" t="str">
        <f aca="false">Categorias!$B$14</f>
        <v>Entretenimiento</v>
      </c>
      <c r="C16" s="29" t="n">
        <f aca="false">SUMIFS(Transacciones!$G$5:$G$200,Transacciones!$B$5:$B$200,$B16,Transacciones!$C$5:$C$200,"Ingreso")</f>
        <v>0</v>
      </c>
      <c r="D16" s="29" t="n">
        <f aca="false">SUMIFS(Transacciones!$G$5:$G$200,Transacciones!$B$5:$B$200,$B16,Transacciones!$C$5:$C$200,"Gasto")</f>
        <v>70</v>
      </c>
      <c r="E16" s="29" t="n">
        <f aca="false">C16-D16</f>
        <v>-70</v>
      </c>
    </row>
    <row r="17" customFormat="false" ht="15" hidden="false" customHeight="false" outlineLevel="0" collapsed="false">
      <c r="B17" s="28" t="str">
        <f aca="false">Categorias!$B$15</f>
        <v>Ropa y cuidado personal</v>
      </c>
      <c r="C17" s="29" t="n">
        <f aca="false">SUMIFS(Transacciones!$G$5:$G$200,Transacciones!$B$5:$B$200,$B17,Transacciones!$C$5:$C$200,"Ingreso")</f>
        <v>0</v>
      </c>
      <c r="D17" s="29" t="n">
        <f aca="false">SUMIFS(Transacciones!$G$5:$G$200,Transacciones!$B$5:$B$200,$B17,Transacciones!$C$5:$C$200,"Gasto")</f>
        <v>0</v>
      </c>
      <c r="E17" s="29" t="n">
        <f aca="false">C17-D17</f>
        <v>0</v>
      </c>
    </row>
    <row r="18" customFormat="false" ht="15" hidden="false" customHeight="false" outlineLevel="0" collapsed="false">
      <c r="B18" s="28" t="str">
        <f aca="false">Categorias!$B$16</f>
        <v>Ahorro e inversión</v>
      </c>
      <c r="C18" s="29" t="n">
        <f aca="false">SUMIFS(Transacciones!$G$5:$G$200,Transacciones!$B$5:$B$200,$B18,Transacciones!$C$5:$C$200,"Ingreso")</f>
        <v>0</v>
      </c>
      <c r="D18" s="29" t="n">
        <f aca="false">SUMIFS(Transacciones!$G$5:$G$200,Transacciones!$B$5:$B$200,$B18,Transacciones!$C$5:$C$200,"Gasto")</f>
        <v>300</v>
      </c>
      <c r="E18" s="29" t="n">
        <f aca="false">C18-D18</f>
        <v>-300</v>
      </c>
    </row>
    <row r="19" customFormat="false" ht="15" hidden="false" customHeight="false" outlineLevel="0" collapsed="false">
      <c r="B19" s="28" t="str">
        <f aca="false">Categorias!$B$17</f>
        <v>Deudas y préstamos</v>
      </c>
      <c r="C19" s="29" t="n">
        <f aca="false">SUMIFS(Transacciones!$G$5:$G$200,Transacciones!$B$5:$B$200,$B19,Transacciones!$C$5:$C$200,"Ingreso")</f>
        <v>0</v>
      </c>
      <c r="D19" s="29" t="n">
        <f aca="false">SUMIFS(Transacciones!$G$5:$G$200,Transacciones!$B$5:$B$200,$B19,Transacciones!$C$5:$C$200,"Gasto")</f>
        <v>250</v>
      </c>
      <c r="E19" s="29" t="n">
        <f aca="false">C19-D19</f>
        <v>-250</v>
      </c>
    </row>
    <row r="20" customFormat="false" ht="15" hidden="false" customHeight="false" outlineLevel="0" collapsed="false">
      <c r="B20" s="28" t="str">
        <f aca="false">Categorias!$B$18</f>
        <v>Otros gastos</v>
      </c>
      <c r="C20" s="29" t="n">
        <f aca="false">SUMIFS(Transacciones!$G$5:$G$200,Transacciones!$B$5:$B$200,$B20,Transacciones!$C$5:$C$200,"Ingreso")</f>
        <v>0</v>
      </c>
      <c r="D20" s="29" t="n">
        <f aca="false">SUMIFS(Transacciones!$G$5:$G$200,Transacciones!$B$5:$B$200,$B20,Transacciones!$C$5:$C$200,"Gasto")</f>
        <v>0</v>
      </c>
      <c r="E20" s="29" t="n">
        <f aca="false">C20-D20</f>
        <v>0</v>
      </c>
    </row>
    <row r="21" customFormat="false" ht="15" hidden="false" customHeight="false" outlineLevel="0" collapsed="false">
      <c r="B21" s="30" t="s">
        <v>111</v>
      </c>
      <c r="C21" s="31" t="n">
        <f aca="false">SUM(C7:C20)</f>
        <v>14100</v>
      </c>
      <c r="D21" s="31" t="n">
        <f aca="false">SUM(D7:D20)</f>
        <v>5230</v>
      </c>
      <c r="E21" s="31" t="n">
        <f aca="false">SUM(E7:E20)</f>
        <v>8870</v>
      </c>
    </row>
    <row r="24" customFormat="false" ht="19.5" hidden="false" customHeight="true" outlineLevel="0" collapsed="false">
      <c r="B24" s="32" t="s">
        <v>112</v>
      </c>
      <c r="C24" s="32"/>
      <c r="D24" s="32"/>
      <c r="E24" s="32"/>
      <c r="F24" s="32"/>
    </row>
    <row r="25" customFormat="false" ht="18" hidden="false" customHeight="true" outlineLevel="0" collapsed="false">
      <c r="B25" s="10" t="s">
        <v>113</v>
      </c>
      <c r="C25" s="10" t="s">
        <v>108</v>
      </c>
      <c r="D25" s="10" t="s">
        <v>109</v>
      </c>
      <c r="E25" s="10" t="s">
        <v>114</v>
      </c>
      <c r="F25" s="10" t="s">
        <v>115</v>
      </c>
    </row>
    <row r="26" customFormat="false" ht="15" hidden="false" customHeight="false" outlineLevel="0" collapsed="false">
      <c r="B26" s="28" t="s">
        <v>116</v>
      </c>
      <c r="C26" s="29" t="n">
        <f aca="false">SUMIFS(Transacciones!$G$5:$G$200,Transacciones!$C$5:$C$200,"Ingreso",Transacciones!$A$5:$A$200,"&gt;="&amp;DATE(Configuracion!$C$9,1,1),Transacciones!$A$5:$A$200,"&lt;="&amp;EOMONTH(DATE(Configuracion!$C$9,1,1),0))</f>
        <v>4850</v>
      </c>
      <c r="D26" s="29" t="n">
        <f aca="false">SUMIFS(Transacciones!$G$5:$G$200,Transacciones!$C$5:$C$200,"Gasto",Transacciones!$A$5:$A$200,"&gt;="&amp;DATE(Configuracion!$C$9,1,1),Transacciones!$A$5:$A$200,"&lt;="&amp;EOMONTH(DATE(Configuracion!$C$9,1,1),0))</f>
        <v>1950</v>
      </c>
      <c r="E26" s="29" t="n">
        <f aca="false">C26-D26</f>
        <v>2900</v>
      </c>
      <c r="F26" s="33" t="n">
        <f aca="false">IF(C26=0,0,E26/C26)</f>
        <v>0.597938144329897</v>
      </c>
    </row>
    <row r="27" customFormat="false" ht="15" hidden="false" customHeight="false" outlineLevel="0" collapsed="false">
      <c r="B27" s="28" t="s">
        <v>117</v>
      </c>
      <c r="C27" s="29" t="n">
        <f aca="false">SUMIFS(Transacciones!$G$5:$G$200,Transacciones!$C$5:$C$200,"Ingreso",Transacciones!$A$5:$A$200,"&gt;="&amp;DATE(Configuracion!$C$9,2,1),Transacciones!$A$5:$A$200,"&lt;="&amp;EOMONTH(DATE(Configuracion!$C$9,2,1),0))</f>
        <v>4650</v>
      </c>
      <c r="D27" s="29" t="n">
        <f aca="false">SUMIFS(Transacciones!$G$5:$G$200,Transacciones!$C$5:$C$200,"Gasto",Transacciones!$A$5:$A$200,"&gt;="&amp;DATE(Configuracion!$C$9,2,1),Transacciones!$A$5:$A$200,"&lt;="&amp;EOMONTH(DATE(Configuracion!$C$9,2,1),0))</f>
        <v>1635</v>
      </c>
      <c r="E27" s="29" t="n">
        <f aca="false">C27-D27</f>
        <v>3015</v>
      </c>
      <c r="F27" s="33" t="n">
        <f aca="false">IF(C27=0,0,E27/C27)</f>
        <v>0.648387096774194</v>
      </c>
    </row>
    <row r="28" customFormat="false" ht="15" hidden="false" customHeight="false" outlineLevel="0" collapsed="false">
      <c r="B28" s="28" t="s">
        <v>118</v>
      </c>
      <c r="C28" s="29" t="n">
        <f aca="false">SUMIFS(Transacciones!$G$5:$G$200,Transacciones!$C$5:$C$200,"Ingreso",Transacciones!$A$5:$A$200,"&gt;="&amp;DATE(Configuracion!$C$9,3,1),Transacciones!$A$5:$A$200,"&lt;="&amp;EOMONTH(DATE(Configuracion!$C$9,3,1),0))</f>
        <v>4600</v>
      </c>
      <c r="D28" s="29" t="n">
        <f aca="false">SUMIFS(Transacciones!$G$5:$G$200,Transacciones!$C$5:$C$200,"Gasto",Transacciones!$A$5:$A$200,"&gt;="&amp;DATE(Configuracion!$C$9,3,1),Transacciones!$A$5:$A$200,"&lt;="&amp;EOMONTH(DATE(Configuracion!$C$9,3,1),0))</f>
        <v>1645</v>
      </c>
      <c r="E28" s="29" t="n">
        <f aca="false">C28-D28</f>
        <v>2955</v>
      </c>
      <c r="F28" s="33" t="n">
        <f aca="false">IF(C28=0,0,E28/C28)</f>
        <v>0.642391304347826</v>
      </c>
    </row>
    <row r="29" customFormat="false" ht="15" hidden="false" customHeight="false" outlineLevel="0" collapsed="false">
      <c r="B29" s="28" t="s">
        <v>119</v>
      </c>
      <c r="C29" s="29" t="n">
        <f aca="false">SUMIFS(Transacciones!$G$5:$G$200,Transacciones!$C$5:$C$200,"Ingreso",Transacciones!$A$5:$A$200,"&gt;="&amp;DATE(Configuracion!$C$9,4,1),Transacciones!$A$5:$A$200,"&lt;="&amp;EOMONTH(DATE(Configuracion!$C$9,4,1),0))</f>
        <v>0</v>
      </c>
      <c r="D29" s="29" t="n">
        <f aca="false">SUMIFS(Transacciones!$G$5:$G$200,Transacciones!$C$5:$C$200,"Gasto",Transacciones!$A$5:$A$200,"&gt;="&amp;DATE(Configuracion!$C$9,4,1),Transacciones!$A$5:$A$200,"&lt;="&amp;EOMONTH(DATE(Configuracion!$C$9,4,1),0))</f>
        <v>0</v>
      </c>
      <c r="E29" s="29" t="n">
        <f aca="false">C29-D29</f>
        <v>0</v>
      </c>
      <c r="F29" s="33" t="n">
        <f aca="false">IF(C29=0,0,E29/C29)</f>
        <v>0</v>
      </c>
    </row>
    <row r="30" customFormat="false" ht="15" hidden="false" customHeight="false" outlineLevel="0" collapsed="false">
      <c r="B30" s="28" t="s">
        <v>120</v>
      </c>
      <c r="C30" s="29" t="n">
        <f aca="false">SUMIFS(Transacciones!$G$5:$G$200,Transacciones!$C$5:$C$200,"Ingreso",Transacciones!$A$5:$A$200,"&gt;="&amp;DATE(Configuracion!$C$9,5,1),Transacciones!$A$5:$A$200,"&lt;="&amp;EOMONTH(DATE(Configuracion!$C$9,5,1),0))</f>
        <v>0</v>
      </c>
      <c r="D30" s="29" t="n">
        <f aca="false">SUMIFS(Transacciones!$G$5:$G$200,Transacciones!$C$5:$C$200,"Gasto",Transacciones!$A$5:$A$200,"&gt;="&amp;DATE(Configuracion!$C$9,5,1),Transacciones!$A$5:$A$200,"&lt;="&amp;EOMONTH(DATE(Configuracion!$C$9,5,1),0))</f>
        <v>0</v>
      </c>
      <c r="E30" s="29" t="n">
        <f aca="false">C30-D30</f>
        <v>0</v>
      </c>
      <c r="F30" s="33" t="n">
        <f aca="false">IF(C30=0,0,E30/C30)</f>
        <v>0</v>
      </c>
    </row>
    <row r="31" customFormat="false" ht="15" hidden="false" customHeight="false" outlineLevel="0" collapsed="false">
      <c r="B31" s="28" t="s">
        <v>121</v>
      </c>
      <c r="C31" s="29" t="n">
        <f aca="false">SUMIFS(Transacciones!$G$5:$G$200,Transacciones!$C$5:$C$200,"Ingreso",Transacciones!$A$5:$A$200,"&gt;="&amp;DATE(Configuracion!$C$9,6,1),Transacciones!$A$5:$A$200,"&lt;="&amp;EOMONTH(DATE(Configuracion!$C$9,6,1),0))</f>
        <v>0</v>
      </c>
      <c r="D31" s="29" t="n">
        <f aca="false">SUMIFS(Transacciones!$G$5:$G$200,Transacciones!$C$5:$C$200,"Gasto",Transacciones!$A$5:$A$200,"&gt;="&amp;DATE(Configuracion!$C$9,6,1),Transacciones!$A$5:$A$200,"&lt;="&amp;EOMONTH(DATE(Configuracion!$C$9,6,1),0))</f>
        <v>0</v>
      </c>
      <c r="E31" s="29" t="n">
        <f aca="false">C31-D31</f>
        <v>0</v>
      </c>
      <c r="F31" s="33" t="n">
        <f aca="false">IF(C31=0,0,E31/C31)</f>
        <v>0</v>
      </c>
    </row>
    <row r="32" customFormat="false" ht="15" hidden="false" customHeight="false" outlineLevel="0" collapsed="false">
      <c r="B32" s="28" t="s">
        <v>122</v>
      </c>
      <c r="C32" s="29" t="n">
        <f aca="false">SUMIFS(Transacciones!$G$5:$G$200,Transacciones!$C$5:$C$200,"Ingreso",Transacciones!$A$5:$A$200,"&gt;="&amp;DATE(Configuracion!$C$9,7,1),Transacciones!$A$5:$A$200,"&lt;="&amp;EOMONTH(DATE(Configuracion!$C$9,7,1),0))</f>
        <v>0</v>
      </c>
      <c r="D32" s="29" t="n">
        <f aca="false">SUMIFS(Transacciones!$G$5:$G$200,Transacciones!$C$5:$C$200,"Gasto",Transacciones!$A$5:$A$200,"&gt;="&amp;DATE(Configuracion!$C$9,7,1),Transacciones!$A$5:$A$200,"&lt;="&amp;EOMONTH(DATE(Configuracion!$C$9,7,1),0))</f>
        <v>0</v>
      </c>
      <c r="E32" s="29" t="n">
        <f aca="false">C32-D32</f>
        <v>0</v>
      </c>
      <c r="F32" s="33" t="n">
        <f aca="false">IF(C32=0,0,E32/C32)</f>
        <v>0</v>
      </c>
    </row>
    <row r="33" customFormat="false" ht="15" hidden="false" customHeight="false" outlineLevel="0" collapsed="false">
      <c r="B33" s="28" t="s">
        <v>123</v>
      </c>
      <c r="C33" s="29" t="n">
        <f aca="false">SUMIFS(Transacciones!$G$5:$G$200,Transacciones!$C$5:$C$200,"Ingreso",Transacciones!$A$5:$A$200,"&gt;="&amp;DATE(Configuracion!$C$9,8,1),Transacciones!$A$5:$A$200,"&lt;="&amp;EOMONTH(DATE(Configuracion!$C$9,8,1),0))</f>
        <v>0</v>
      </c>
      <c r="D33" s="29" t="n">
        <f aca="false">SUMIFS(Transacciones!$G$5:$G$200,Transacciones!$C$5:$C$200,"Gasto",Transacciones!$A$5:$A$200,"&gt;="&amp;DATE(Configuracion!$C$9,8,1),Transacciones!$A$5:$A$200,"&lt;="&amp;EOMONTH(DATE(Configuracion!$C$9,8,1),0))</f>
        <v>0</v>
      </c>
      <c r="E33" s="29" t="n">
        <f aca="false">C33-D33</f>
        <v>0</v>
      </c>
      <c r="F33" s="33" t="n">
        <f aca="false">IF(C33=0,0,E33/C33)</f>
        <v>0</v>
      </c>
    </row>
    <row r="34" customFormat="false" ht="15" hidden="false" customHeight="false" outlineLevel="0" collapsed="false">
      <c r="B34" s="28" t="s">
        <v>124</v>
      </c>
      <c r="C34" s="29" t="n">
        <f aca="false">SUMIFS(Transacciones!$G$5:$G$200,Transacciones!$C$5:$C$200,"Ingreso",Transacciones!$A$5:$A$200,"&gt;="&amp;DATE(Configuracion!$C$9,9,1),Transacciones!$A$5:$A$200,"&lt;="&amp;EOMONTH(DATE(Configuracion!$C$9,9,1),0))</f>
        <v>0</v>
      </c>
      <c r="D34" s="29" t="n">
        <f aca="false">SUMIFS(Transacciones!$G$5:$G$200,Transacciones!$C$5:$C$200,"Gasto",Transacciones!$A$5:$A$200,"&gt;="&amp;DATE(Configuracion!$C$9,9,1),Transacciones!$A$5:$A$200,"&lt;="&amp;EOMONTH(DATE(Configuracion!$C$9,9,1),0))</f>
        <v>0</v>
      </c>
      <c r="E34" s="29" t="n">
        <f aca="false">C34-D34</f>
        <v>0</v>
      </c>
      <c r="F34" s="33" t="n">
        <f aca="false">IF(C34=0,0,E34/C34)</f>
        <v>0</v>
      </c>
    </row>
    <row r="35" customFormat="false" ht="15" hidden="false" customHeight="false" outlineLevel="0" collapsed="false">
      <c r="B35" s="28" t="s">
        <v>125</v>
      </c>
      <c r="C35" s="29" t="n">
        <f aca="false">SUMIFS(Transacciones!$G$5:$G$200,Transacciones!$C$5:$C$200,"Ingreso",Transacciones!$A$5:$A$200,"&gt;="&amp;DATE(Configuracion!$C$9,10,1),Transacciones!$A$5:$A$200,"&lt;="&amp;EOMONTH(DATE(Configuracion!$C$9,10,1),0))</f>
        <v>0</v>
      </c>
      <c r="D35" s="29" t="n">
        <f aca="false">SUMIFS(Transacciones!$G$5:$G$200,Transacciones!$C$5:$C$200,"Gasto",Transacciones!$A$5:$A$200,"&gt;="&amp;DATE(Configuracion!$C$9,10,1),Transacciones!$A$5:$A$200,"&lt;="&amp;EOMONTH(DATE(Configuracion!$C$9,10,1),0))</f>
        <v>0</v>
      </c>
      <c r="E35" s="29" t="n">
        <f aca="false">C35-D35</f>
        <v>0</v>
      </c>
      <c r="F35" s="33" t="n">
        <f aca="false">IF(C35=0,0,E35/C35)</f>
        <v>0</v>
      </c>
    </row>
    <row r="36" customFormat="false" ht="15" hidden="false" customHeight="false" outlineLevel="0" collapsed="false">
      <c r="B36" s="28" t="s">
        <v>126</v>
      </c>
      <c r="C36" s="29" t="n">
        <f aca="false">SUMIFS(Transacciones!$G$5:$G$200,Transacciones!$C$5:$C$200,"Ingreso",Transacciones!$A$5:$A$200,"&gt;="&amp;DATE(Configuracion!$C$9,11,1),Transacciones!$A$5:$A$200,"&lt;="&amp;EOMONTH(DATE(Configuracion!$C$9,11,1),0))</f>
        <v>0</v>
      </c>
      <c r="D36" s="29" t="n">
        <f aca="false">SUMIFS(Transacciones!$G$5:$G$200,Transacciones!$C$5:$C$200,"Gasto",Transacciones!$A$5:$A$200,"&gt;="&amp;DATE(Configuracion!$C$9,11,1),Transacciones!$A$5:$A$200,"&lt;="&amp;EOMONTH(DATE(Configuracion!$C$9,11,1),0))</f>
        <v>0</v>
      </c>
      <c r="E36" s="29" t="n">
        <f aca="false">C36-D36</f>
        <v>0</v>
      </c>
      <c r="F36" s="33" t="n">
        <f aca="false">IF(C36=0,0,E36/C36)</f>
        <v>0</v>
      </c>
    </row>
    <row r="37" customFormat="false" ht="15" hidden="false" customHeight="false" outlineLevel="0" collapsed="false">
      <c r="B37" s="28" t="s">
        <v>127</v>
      </c>
      <c r="C37" s="29" t="n">
        <f aca="false">SUMIFS(Transacciones!$G$5:$G$200,Transacciones!$C$5:$C$200,"Ingreso",Transacciones!$A$5:$A$200,"&gt;="&amp;DATE(Configuracion!$C$9,12,1),Transacciones!$A$5:$A$200,"&lt;="&amp;EOMONTH(DATE(Configuracion!$C$9,12,1),0))</f>
        <v>0</v>
      </c>
      <c r="D37" s="29" t="n">
        <f aca="false">SUMIFS(Transacciones!$G$5:$G$200,Transacciones!$C$5:$C$200,"Gasto",Transacciones!$A$5:$A$200,"&gt;="&amp;DATE(Configuracion!$C$9,12,1),Transacciones!$A$5:$A$200,"&lt;="&amp;EOMONTH(DATE(Configuracion!$C$9,12,1),0))</f>
        <v>0</v>
      </c>
      <c r="E37" s="29" t="n">
        <f aca="false">C37-D37</f>
        <v>0</v>
      </c>
      <c r="F37" s="33" t="n">
        <f aca="false">IF(C37=0,0,E37/C37)</f>
        <v>0</v>
      </c>
    </row>
  </sheetData>
  <sheetProtection sheet="true" formatCells="false" formatColumns="false" formatRows="false" insertRows="false" selectLockedCells="true" selectUnlockedCells="true"/>
  <mergeCells count="4">
    <mergeCell ref="B2:F2"/>
    <mergeCell ref="B3:F3"/>
    <mergeCell ref="B5:E5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128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"Moneda de visualización: " &amp; Configuracion!$C$8 &amp; "   |   Año: " &amp; Configuracion!$C$9</f>
        <v>Moneda de visualización: Local   |   Año: 2026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4" t="s">
        <v>129</v>
      </c>
      <c r="C5" s="34"/>
      <c r="D5" s="35" t="s">
        <v>130</v>
      </c>
      <c r="E5" s="35"/>
      <c r="F5" s="36" t="s">
        <v>131</v>
      </c>
      <c r="G5" s="36"/>
      <c r="H5" s="37" t="s">
        <v>132</v>
      </c>
      <c r="I5" s="37"/>
    </row>
    <row r="6" customFormat="false" ht="21.75" hidden="false" customHeight="true" outlineLevel="0" collapsed="false">
      <c r="B6" s="38" t="str">
        <f aca="false">Configuracion!$C$13&amp;" "&amp;TEXT(Resumen!C21,"#,##0.00")</f>
        <v>S/ 14,100.00</v>
      </c>
      <c r="C6" s="38"/>
      <c r="D6" s="39" t="str">
        <f aca="false">Configuracion!$C$13&amp;" "&amp;TEXT(Resumen!D21,"#,##0.00")</f>
        <v>S/ 5,230.00</v>
      </c>
      <c r="E6" s="39"/>
      <c r="F6" s="40" t="str">
        <f aca="false">Configuracion!$C$13&amp;" "&amp;TEXT(Resumen!E21,"#,##0.00")</f>
        <v>S/ 8,870.00</v>
      </c>
      <c r="G6" s="40"/>
      <c r="H6" s="41" t="str">
        <f aca="false">IF(Resumen!C21=0,"0.0%",TEXT(Resumen!E21/Resumen!C21,"0.0%"))</f>
        <v>62.9%</v>
      </c>
      <c r="I6" s="41"/>
    </row>
    <row r="7" customFormat="false" ht="21.75" hidden="false" customHeight="true" outlineLevel="0" collapsed="false">
      <c r="B7" s="38"/>
      <c r="C7" s="38"/>
      <c r="D7" s="39"/>
      <c r="E7" s="39"/>
      <c r="F7" s="40"/>
      <c r="G7" s="40"/>
      <c r="H7" s="41"/>
      <c r="I7" s="41"/>
    </row>
  </sheetData>
  <sheetProtection sheet="true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2026-09-18T14:53:55Z</dcterms:created>
  <dc:creator>openpyxl</dc:creator>
  <dc:description/>
  <dc:language>en-US</dc:language>
  <cp:lastModifiedBy/>
  <dcterms:modified xsi:type="dcterms:W3CDTF">2026-09-18T14:54:14Z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