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ortada" sheetId="1" state="visible" r:id="rId3"/>
    <sheet name="Instrucciones" sheetId="2" state="visible" r:id="rId4"/>
    <sheet name="Configuracion" sheetId="3" state="visible" r:id="rId5"/>
    <sheet name="Categorias" sheetId="4" state="visible" r:id="rId6"/>
    <sheet name="Presupuesto" sheetId="5" state="visible" r:id="rId7"/>
    <sheet name="Real" sheetId="6" state="visible" r:id="rId8"/>
    <sheet name="Resumen" sheetId="7" state="visible" r:id="rId9"/>
    <sheet name="Dashboard" sheetId="8" state="visible" r:id="rId10"/>
  </sheets>
  <definedNames>
    <definedName function="false" hidden="false" name="FactorConversion" vbProcedure="false">Configuracion!$C$12</definedName>
    <definedName function="false" hidden="false" name="MesSeleccionado" vbProcedure="false">Configuracion!$C$10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<sst xmlns="http://schemas.openxmlformats.org/spreadsheetml/2006/main" count="143" uniqueCount="123">
  <si>
    <t xml:space="preserve">LÍNEA DE PRODUCTOS DIGITALES · PLANTILLAS EXCEL</t>
  </si>
  <si>
    <t xml:space="preserve">PRESUPUESTO MENSUAL</t>
  </si>
  <si>
    <t xml:space="preserve">Planifica tus ingresos y gastos mes a mes, compara lo presupuestado contra lo real y visualiza tus desviaciones al instante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</si>
  <si>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</si>
  <si>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</si>
  <si>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</si>
  <si>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Gráficos: barras (presupuestado vs. real), tendencia anual y pastel</t>
  </si>
  <si>
    <t xml:space="preserve">✔  Resumen dinámico tipo tabla dinámica por categoría y por mes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</si>
  <si>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</si>
  <si>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</si>
  <si>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</si>
  <si>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</si>
  <si>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profesional, listo para usar</t>
  </si>
  <si>
    <t xml:space="preserve">✔  Ejemplos precargados para que veas cómo funciona</t>
  </si>
  <si>
    <t xml:space="preserve">Producto digital · Precio orientativo: $6.99 USD  |  Licencia de uso personal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</si>
  <si>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</si>
  <si>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</si>
  <si>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</si>
  <si>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Ve a la hoja 'Configuración' y define el símbolo de tu moneda local, el tipo de cambio, el mes que quieres analizar y si el resto de la plantilla se muestra en moneda LOCAL o USD.</t>
  </si>
  <si>
    <t xml:space="preserve">2. Categorías</t>
  </si>
  <si>
    <t xml:space="preserve">En la hoja 'Categorías' puedes revisar o editar las categorías de ingreso/gasto que se usan en 'Presupuesto' y 'Real'.</t>
  </si>
  <si>
    <t xml:space="preserve">3. Presupuesto</t>
  </si>
  <si>
    <t xml:space="preserve">En la hoja 'Presupuesto' escribe cuánto planeas ingresar/gastar en cada categoría, mes a mes. La columna 'Total anual' se calcula sola.</t>
  </si>
  <si>
    <t xml:space="preserve">4. Real</t>
  </si>
  <si>
    <t xml:space="preserve">En la hoja 'Real' registra lo que efectivamente ingresaste/gastaste cada mes, en las mismas categorías y meses que en 'Presupuesto'.</t>
  </si>
  <si>
    <t xml:space="preserve">5. Resumen automático</t>
  </si>
  <si>
    <t xml:space="preserve">La hoja 'Resumen' compara Presupuestado vs. Real para el mes elegido en 'Configuración', categoría por categoría, y además totaliza los 12 meses del año, como una tabla dinámica.</t>
  </si>
  <si>
    <t xml:space="preserve">6. Dashboard</t>
  </si>
  <si>
    <t xml:space="preserve">La hoja 'Dashboard' muestra tus indicadores clave del mes elegido (presupuestado, real, disponible, % usado) y gráficos que se actualizan solos.</t>
  </si>
  <si>
    <t xml:space="preserve">7. Cambiar de mes o de moneda</t>
  </si>
  <si>
    <t xml:space="preserve">En 'Configuración' cambia 'Mes seleccionado' para analizar otro mes, o 'Moneda de visualización' entre Local y USD: todo se recalcula automáticamente.</t>
  </si>
  <si>
    <t xml:space="preserve">8. Celdas protegidas</t>
  </si>
  <si>
    <t xml:space="preserve">Las hojas están protegidas para que no borres fórmulas por accidente. Solo puedes escribir en las celdas resaltadas en color crema / texto azul. Si necesitas editar otra celda, ve a Revisar → Desproteger hoja (no pide contraseña).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</si>
  <si>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</si>
  <si>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</si>
  <si>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</si>
  <si>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</si>
  <si>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</si>
  <si>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</si>
  <si>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</si>
  <si>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</si>
  <si>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</si>
  <si>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</si>
  <si>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</si>
  <si>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</si>
  <si>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</si>
  <si>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</si>
  <si>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</si>
  <si>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Resumen y Dashboard.</t>
  </si>
  <si>
    <t xml:space="preserve">Año de análisis</t>
  </si>
  <si>
    <t xml:space="preserve">Año que se usa como referencia en Presupuesto y Real.</t>
  </si>
  <si>
    <t xml:space="preserve">Mes seleccionado</t>
  </si>
  <si>
    <t xml:space="preserve">Enero</t>
  </si>
  <si>
    <t xml:space="preserve">Mes que se muestra en Resumen y Dashboard.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</si>
  <si>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</si>
  <si>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</si>
  <si>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</si>
  <si>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</si>
  <si>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</si>
  <si>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Número de mes seleccionado</t>
  </si>
  <si>
    <t xml:space="preserve">1=Enero ... 12=Diciembre. Se usa para ubicar la columna del mes en Presupuesto y Real.</t>
  </si>
  <si>
    <t xml:space="preserve">Cambia 'Mes seleccionado' o 'Moneda de visualización' para recalcular automáticamente Resumen y Dashboard.</t>
  </si>
  <si>
    <t xml:space="preserve">CATEGORÍAS DE PRESUPUESTO</t>
  </si>
  <si>
    <t xml:space="preserve">Categoría (ingreso/gasto)</t>
  </si>
  <si>
    <t xml:space="preserve">Salario</t>
  </si>
  <si>
    <t xml:space="preserve">Freelance / Ingresos extra</t>
  </si>
  <si>
    <t xml:space="preserve">Otros ingresos</t>
  </si>
  <si>
    <t xml:space="preserve">Vivienda (alquiler/hipoteca)</t>
  </si>
  <si>
    <t xml:space="preserve">Alimentación</t>
  </si>
  <si>
    <t xml:space="preserve">Transporte</t>
  </si>
  <si>
    <t xml:space="preserve">Servicios (luz, agua, internet)</t>
  </si>
  <si>
    <t xml:space="preserve">Salud</t>
  </si>
  <si>
    <t xml:space="preserve">Educación</t>
  </si>
  <si>
    <t xml:space="preserve">Entretenimiento</t>
  </si>
  <si>
    <t xml:space="preserve">Ropa y cuidado personal</t>
  </si>
  <si>
    <t xml:space="preserve">Ahorro e inversión</t>
  </si>
  <si>
    <t xml:space="preserve">Deudas y préstamos</t>
  </si>
  <si>
    <t xml:space="preserve">Otros gastos</t>
  </si>
  <si>
    <t xml:space="preserve">Estas categorías deben coincidir, en el mismo orden, con las filas de 'Presupuesto' y 'Real'.</t>
  </si>
  <si>
    <t xml:space="preserve">PRESUPUESTO ANUAL (por categoría y mes)</t>
  </si>
  <si>
    <t xml:space="preserve">Categoría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</si>
  <si>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</si>
  <si>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</si>
  <si>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</si>
  <si>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</si>
  <si>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</si>
  <si>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</si>
  <si>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</si>
  <si>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</si>
  <si>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</si>
  <si>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</si>
  <si>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</si>
  <si>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</si>
  <si>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anual</t>
  </si>
  <si>
    <t xml:space="preserve">TOTAL</t>
  </si>
  <si>
    <t xml:space="preserve">GASTOS E INGRESOS REALES (por categoría y mes)</t>
  </si>
  <si>
    <t xml:space="preserve">RESUMEN DINÁMICO (se actualiza solo)</t>
  </si>
  <si>
    <t xml:space="preserve">PRESUPUESTADO VS. REAL POR CATEGORÍA (mes seleccionado)</t>
  </si>
  <si>
    <t xml:space="preserve">Presupuestado</t>
  </si>
  <si>
    <t xml:space="preserve">Real</t>
  </si>
  <si>
    <t xml:space="preserve">Diferencia</t>
  </si>
  <si>
    <t xml:space="preserve">% usado</t>
  </si>
  <si>
    <t xml:space="preserve">TOTAL INGRESOS</t>
  </si>
  <si>
    <t xml:space="preserve">TOTAL GASTOS</t>
  </si>
  <si>
    <t xml:space="preserve">BALANCE (Ingresos - Gastos)</t>
  </si>
  <si>
    <t xml:space="preserve">EVOLUCIÓN MENSUAL (todo el año)</t>
  </si>
  <si>
    <t xml:space="preserve">Mes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</si>
  <si>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</si>
  <si>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</si>
  <si>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</si>
  <si>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</si>
  <si>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</si>
  <si>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</si>
  <si>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</si>
  <si>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</si>
  <si>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</si>
  <si>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</si>
  <si>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</si>
  <si>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DASHBOARD · PRESUPUESTO MENSUAL</t>
  </si>
  <si>
    <t xml:space="preserve">INGRESO REAL (MES)</t>
  </si>
  <si>
    <t xml:space="preserve">GASTO PRESUPUESTADO (MES)</t>
  </si>
  <si>
    <t xml:space="preserve">GASTO REAL (MES)</t>
  </si>
  <si>
    <t xml:space="preserve">% DE GASTOS USADO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</si>
</sst>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"/>
    <numFmt numFmtId="167" formatCode="#,##0.0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CA58D"/>
        <bgColor rgb="FF4299B0"/>
      </patternFill>
    </fill>
    <fill>
      <patternFill patternType="solid">
        <fgColor rgb="FFC9A24B"/>
        <bgColor rgb="FFDC853E"/>
      </patternFill>
    </fill>
    <fill>
      <patternFill patternType="solid">
        <fgColor rgb="FFB23B3B"/>
        <bgColor rgb="FFAB47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B23B3B"/>
      <rgbColor rgb="FFFFF6D9"/>
      <rgbColor rgb="FFF2F4F6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2C3D5"/>
      <rgbColor rgb="FFD09493"/>
      <rgbColor rgb="FFCC99FF"/>
      <rgbColor rgb="FFFFCC99"/>
      <rgbColor rgb="FF4A7EBB"/>
      <rgbColor rgb="FF4299B0"/>
      <rgbColor rgb="FF99CC00"/>
      <rgbColor rgb="FFFFCC00"/>
      <rgbColor rgb="FFC9A24B"/>
      <rgbColor rgb="FFC0504D"/>
      <rgbColor rgb="FF725990"/>
      <rgbColor rgb="FFA99BBD"/>
      <rgbColor rgb="FF003366"/>
      <rgbColor rgb="FF2CA58D"/>
      <rgbColor rgb="FF003300"/>
      <rgbColor rgb="FF1A1A1A"/>
      <rgbColor rgb="FFBE4B48"/>
      <rgbColor rgb="FFAB4744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reales por categoría (mes)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Resumen!$B$10:$B$20</c:f>
              <c:strCache>
                <c:ptCount val="11"/>
                <c:pt idx="0">
                  <c:v>Vivienda (alquiler/hipoteca)</c:v>
                </c:pt>
                <c:pt idx="1">
                  <c:v>Alimentación</c:v>
                </c:pt>
                <c:pt idx="2">
                  <c:v>Transporte</c:v>
                </c:pt>
                <c:pt idx="3">
                  <c:v>Servicios (luz, agua, internet)</c:v>
                </c:pt>
                <c:pt idx="4">
                  <c:v>Salud</c:v>
                </c:pt>
                <c:pt idx="5">
                  <c:v>Educación</c:v>
                </c:pt>
                <c:pt idx="6">
                  <c:v>Entretenimiento</c:v>
                </c:pt>
                <c:pt idx="7">
                  <c:v>Ropa y cuidado personal</c:v>
                </c:pt>
                <c:pt idx="8">
                  <c:v>Ahorro e inversión</c:v>
                </c:pt>
                <c:pt idx="9">
                  <c:v>Deudas y préstamos</c:v>
                </c:pt>
                <c:pt idx="10">
                  <c:v>Otros gastos</c:v>
                </c:pt>
              </c:strCache>
            </c:strRef>
          </c:cat>
          <c:val>
            <c:numRef>
              <c:f>Resumen!$D$10:$D$20</c:f>
              <c:numCache>
                <c:formatCode>#,##0.00</c:formatCode>
                <c:ptCount val="11"/>
                <c:pt idx="0">
                  <c:v>1200</c:v>
                </c:pt>
                <c:pt idx="1">
                  <c:v>180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  <c:pt idx="5">
                  <c:v>0</c:v>
                </c:pt>
                <c:pt idx="6">
                  <c:v>45</c:v>
                </c:pt>
                <c:pt idx="7">
                  <c:v>0</c:v>
                </c:pt>
                <c:pt idx="8">
                  <c:v>300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Presupuestado vs. Real por categoría (mes)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Resumen!C6</c:f>
              <c:strCache>
                <c:ptCount val="1"/>
                <c:pt idx="0">
                  <c:v>Presupuestado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Resumen!$B$7:$B$20</c:f>
              <c:strCache>
                <c:ptCount val="14"/>
                <c:pt idx="0">
                  <c:v>Salario</c:v>
                </c:pt>
                <c:pt idx="1">
                  <c:v>Freelance / Ingresos extra</c:v>
                </c:pt>
                <c:pt idx="2">
                  <c:v>Otros ingresos</c:v>
                </c:pt>
                <c:pt idx="3">
                  <c:v>Vivienda (alquiler/hipoteca)</c:v>
                </c:pt>
                <c:pt idx="4">
                  <c:v>Alimentación</c:v>
                </c:pt>
                <c:pt idx="5">
                  <c:v>Transporte</c:v>
                </c:pt>
                <c:pt idx="6">
                  <c:v>Servicios (luz, agua, internet)</c:v>
                </c:pt>
                <c:pt idx="7">
                  <c:v>Salud</c:v>
                </c:pt>
                <c:pt idx="8">
                  <c:v>Educación</c:v>
                </c:pt>
                <c:pt idx="9">
                  <c:v>Entretenimiento</c:v>
                </c:pt>
                <c:pt idx="10">
                  <c:v>Ropa y cuidado personal</c:v>
                </c:pt>
                <c:pt idx="11">
                  <c:v>Ahorro e inversión</c:v>
                </c:pt>
                <c:pt idx="12">
                  <c:v>Deudas y préstamos</c:v>
                </c:pt>
                <c:pt idx="13">
                  <c:v>Otros gastos</c:v>
                </c:pt>
              </c:strCache>
            </c:strRef>
          </c:cat>
          <c:val>
            <c:numRef>
              <c:f>Resumen!$C$7:$C$20</c:f>
              <c:numCache>
                <c:formatCode>#,##0.00</c:formatCode>
                <c:ptCount val="14"/>
                <c:pt idx="0">
                  <c:v>4500</c:v>
                </c:pt>
                <c:pt idx="1">
                  <c:v>300</c:v>
                </c:pt>
                <c:pt idx="2">
                  <c:v>0</c:v>
                </c:pt>
                <c:pt idx="3">
                  <c:v>1200</c:v>
                </c:pt>
                <c:pt idx="4">
                  <c:v>200</c:v>
                </c:pt>
                <c:pt idx="5">
                  <c:v>100</c:v>
                </c:pt>
                <c:pt idx="6">
                  <c:v>80</c:v>
                </c:pt>
                <c:pt idx="7">
                  <c:v>60</c:v>
                </c:pt>
                <c:pt idx="8">
                  <c:v>80</c:v>
                </c:pt>
                <c:pt idx="9">
                  <c:v>60</c:v>
                </c:pt>
                <c:pt idx="10">
                  <c:v>50</c:v>
                </c:pt>
                <c:pt idx="11">
                  <c:v>300</c:v>
                </c:pt>
                <c:pt idx="12">
                  <c:v>250</c:v>
                </c:pt>
                <c:pt idx="13">
                  <c:v>50</c:v>
                </c:pt>
              </c:numCache>
            </c:numRef>
          </c:val>
        </c:ser>
        <c:ser>
          <c:idx val="1"/>
          <c:order val="1"/>
          <c:tx>
            <c:strRef>
              <c:f>Resumen!D6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Resumen!$B$7:$B$20</c:f>
              <c:strCache>
                <c:ptCount val="14"/>
                <c:pt idx="0">
                  <c:v>Salario</c:v>
                </c:pt>
                <c:pt idx="1">
                  <c:v>Freelance / Ingresos extra</c:v>
                </c:pt>
                <c:pt idx="2">
                  <c:v>Otros ingresos</c:v>
                </c:pt>
                <c:pt idx="3">
                  <c:v>Vivienda (alquiler/hipoteca)</c:v>
                </c:pt>
                <c:pt idx="4">
                  <c:v>Alimentación</c:v>
                </c:pt>
                <c:pt idx="5">
                  <c:v>Transporte</c:v>
                </c:pt>
                <c:pt idx="6">
                  <c:v>Servicios (luz, agua, internet)</c:v>
                </c:pt>
                <c:pt idx="7">
                  <c:v>Salud</c:v>
                </c:pt>
                <c:pt idx="8">
                  <c:v>Educación</c:v>
                </c:pt>
                <c:pt idx="9">
                  <c:v>Entretenimiento</c:v>
                </c:pt>
                <c:pt idx="10">
                  <c:v>Ropa y cuidado personal</c:v>
                </c:pt>
                <c:pt idx="11">
                  <c:v>Ahorro e inversión</c:v>
                </c:pt>
                <c:pt idx="12">
                  <c:v>Deudas y préstamos</c:v>
                </c:pt>
                <c:pt idx="13">
                  <c:v>Otros gastos</c:v>
                </c:pt>
              </c:strCache>
            </c:strRef>
          </c:cat>
          <c:val>
            <c:numRef>
              <c:f>Resumen!$D$7:$D$20</c:f>
              <c:numCache>
                <c:formatCode>#,##0.00</c:formatCode>
                <c:ptCount val="14"/>
                <c:pt idx="0">
                  <c:v>4500</c:v>
                </c:pt>
                <c:pt idx="1">
                  <c:v>350</c:v>
                </c:pt>
                <c:pt idx="2">
                  <c:v>0</c:v>
                </c:pt>
                <c:pt idx="3">
                  <c:v>1200</c:v>
                </c:pt>
                <c:pt idx="4">
                  <c:v>180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  <c:pt idx="8">
                  <c:v>0</c:v>
                </c:pt>
                <c:pt idx="9">
                  <c:v>45</c:v>
                </c:pt>
                <c:pt idx="10">
                  <c:v>0</c:v>
                </c:pt>
                <c:pt idx="11">
                  <c:v>300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36305862"/>
        <c:axId val="25269834"/>
      </c:barChart>
      <c:catAx>
        <c:axId val="36305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69834"/>
        <c:crosses val="autoZero"/>
        <c:auto val="1"/>
        <c:lblAlgn val="ctr"/>
        <c:lblOffset val="100"/>
        <c:noMultiLvlLbl val="0"/>
      </c:catAx>
      <c:valAx>
        <c:axId val="25269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05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anual: presupuestado vs.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Resumen!C27</c:f>
              <c:strCache>
                <c:ptCount val="1"/>
                <c:pt idx="0">
                  <c:v>Presupuestado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Resumen!$B$28:$B$39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Resumen!$C$28:$C$39</c:f>
              <c:numCache>
                <c:formatCode>#,##0.00</c:formatCode>
                <c:ptCount val="12"/>
                <c:pt idx="0">
                  <c:v>7230</c:v>
                </c:pt>
                <c:pt idx="1">
                  <c:v>7230</c:v>
                </c:pt>
                <c:pt idx="2">
                  <c:v>7230</c:v>
                </c:pt>
                <c:pt idx="3">
                  <c:v>7230</c:v>
                </c:pt>
                <c:pt idx="4">
                  <c:v>7230</c:v>
                </c:pt>
                <c:pt idx="5">
                  <c:v>7230</c:v>
                </c:pt>
                <c:pt idx="6">
                  <c:v>7230</c:v>
                </c:pt>
                <c:pt idx="7">
                  <c:v>7230</c:v>
                </c:pt>
                <c:pt idx="8">
                  <c:v>7230</c:v>
                </c:pt>
                <c:pt idx="9">
                  <c:v>7230</c:v>
                </c:pt>
                <c:pt idx="10">
                  <c:v>7230</c:v>
                </c:pt>
                <c:pt idx="11">
                  <c:v>7230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Resumen!D27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Resumen!$B$28:$B$39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Resumen!$D$28:$D$39</c:f>
              <c:numCache>
                <c:formatCode>#,##0.00</c:formatCode>
                <c:ptCount val="12"/>
                <c:pt idx="0">
                  <c:v>6800</c:v>
                </c:pt>
                <c:pt idx="1">
                  <c:v>6285</c:v>
                </c:pt>
                <c:pt idx="2">
                  <c:v>6245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518889"/>
        <c:axId val="23352891"/>
      </c:lineChart>
      <c:catAx>
        <c:axId val="63518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52891"/>
        <c:crosses val="autoZero"/>
        <c:auto val="1"/>
        <c:lblAlgn val="ctr"/>
        <c:lblOffset val="100"/>
        <c:noMultiLvlLbl val="0"/>
      </c:catAx>
      <c:valAx>
        <c:axId val="23352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18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8" hidden="false" customHeight="true" outlineLevel="0" collapsed="false">
      <c r="B25" s="4" t="s">
        <v>31</v>
      </c>
      <c r="C25" s="4"/>
    </row>
    <row r="26" customFormat="false" ht="42" hidden="false" customHeight="true" outlineLevel="0" collapsed="false">
      <c r="B26" s="9" t="s">
        <v>32</v>
      </c>
      <c r="C26" s="9"/>
    </row>
    <row r="28" customFormat="false" ht="15" hidden="false" customHeight="false" outlineLevel="0" collapsed="false">
      <c r="B28" s="7" t="s">
        <v>33</v>
      </c>
      <c r="C28" s="7"/>
    </row>
  </sheetData>
  <sheetProtection sheet="true" formatCells="false" formatColumns="false" formatRows="false" insertRows="false" selectLockedCells="true" selectUnlockedCells="true"/>
  <mergeCells count="18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34</v>
      </c>
      <c r="C2" s="8"/>
      <c r="D2" s="8"/>
    </row>
    <row r="4" customFormat="false" ht="21.75" hidden="false" customHeight="true" outlineLevel="0" collapsed="false">
      <c r="B4" s="10" t="s">
        <v>35</v>
      </c>
      <c r="C4" s="10" t="s">
        <v>36</v>
      </c>
      <c r="D4" s="10" t="s">
        <v>37</v>
      </c>
    </row>
    <row r="5" customFormat="false" ht="18" hidden="false" customHeight="true" outlineLevel="0" collapsed="false">
      <c r="B5" s="11" t="s">
        <v>38</v>
      </c>
      <c r="C5" s="12" t="s">
        <v>39</v>
      </c>
      <c r="D5" s="13" t="s">
        <v>40</v>
      </c>
    </row>
    <row r="6" customFormat="false" ht="18" hidden="false" customHeight="true" outlineLevel="0" collapsed="false">
      <c r="B6" s="11" t="s">
        <v>41</v>
      </c>
      <c r="C6" s="12" t="s">
        <v>42</v>
      </c>
      <c r="D6" s="13" t="s">
        <v>43</v>
      </c>
    </row>
    <row r="7" customFormat="false" ht="18" hidden="false" customHeight="true" outlineLevel="0" collapsed="false">
      <c r="B7" s="11" t="s">
        <v>44</v>
      </c>
      <c r="C7" s="12" t="n">
        <v>3.75</v>
      </c>
      <c r="D7" s="13" t="s">
        <v>45</v>
      </c>
    </row>
    <row r="8" customFormat="false" ht="18" hidden="false" customHeight="true" outlineLevel="0" collapsed="false">
      <c r="B8" s="11" t="s">
        <v>46</v>
      </c>
      <c r="C8" s="12" t="s">
        <v>47</v>
      </c>
      <c r="D8" s="13" t="s">
        <v>48</v>
      </c>
    </row>
    <row r="9" customFormat="false" ht="18" hidden="false" customHeight="true" outlineLevel="0" collapsed="false">
      <c r="B9" s="11" t="s">
        <v>49</v>
      </c>
      <c r="C9" s="12" t="n">
        <v>2026</v>
      </c>
      <c r="D9" s="13" t="s">
        <v>50</v>
      </c>
    </row>
    <row r="10" customFormat="false" ht="18" hidden="false" customHeight="true" outlineLevel="0" collapsed="false">
      <c r="B10" s="11" t="s">
        <v>51</v>
      </c>
      <c r="C10" s="12" t="s">
        <v>52</v>
      </c>
      <c r="D10" s="13" t="s">
        <v>53</v>
      </c>
    </row>
    <row r="11" customFormat="false" ht="18" hidden="false" customHeight="true" outlineLevel="0" collapsed="false">
      <c r="B11" s="14" t="s">
        <v>54</v>
      </c>
      <c r="C11" s="15"/>
      <c r="D11" s="15"/>
    </row>
    <row r="12" customFormat="false" ht="18" hidden="false" customHeight="true" outlineLevel="0" collapsed="false">
      <c r="B12" s="16" t="s">
        <v>55</v>
      </c>
      <c r="C12" s="17" t="n">
        <f aca="false">IF(C8="USD",1/C7,1)</f>
        <v>1</v>
      </c>
      <c r="D12" s="18" t="s">
        <v>56</v>
      </c>
    </row>
    <row r="13" customFormat="false" ht="18" hidden="false" customHeight="true" outlineLevel="0" collapsed="false">
      <c r="B13" s="16" t="s">
        <v>57</v>
      </c>
      <c r="C13" s="19" t="str">
        <f aca="false">IF(C8="USD","US$",C6)</f>
        <v>S/</v>
      </c>
      <c r="D13" s="18" t="s">
        <v>58</v>
      </c>
    </row>
    <row r="14" customFormat="false" ht="18" hidden="false" customHeight="true" outlineLevel="0" collapsed="false">
      <c r="B14" s="16" t="s">
        <v>59</v>
      </c>
      <c r="C14" s="19" t="n">
        <f aca="false">MATCH(C10,{"Enero","Febrero","Marzo","Abril","Mayo","Junio","Julio","Agosto","Septiembre","Octubre","Noviembre","Diciembre"},0)</f>
        <v>1</v>
      </c>
      <c r="D14" s="18" t="s">
        <v>60</v>
      </c>
    </row>
    <row r="16" customFormat="false" ht="15" hidden="false" customHeight="true" outlineLevel="0" collapsed="false">
      <c r="B16" s="20" t="s">
        <v>61</v>
      </c>
      <c r="C16" s="20"/>
      <c r="D16" s="20"/>
    </row>
  </sheetData>
  <sheetProtection sheet="true" formatCells="false" formatColumns="false" formatRows="false" insertRows="false" selectLockedCells="true" selectUnlockedCells="true"/>
  <mergeCells count="2">
    <mergeCell ref="B2:D2"/>
    <mergeCell ref="B16:D16"/>
  </mergeCells>
  <dataValidations count="2">
    <dataValidation allowBlank="false" errorStyle="stop" operator="between" showDropDown="false" showErrorMessage="false" showInputMessage="false" sqref="C8" type="list">
      <formula1>"Local,USD"</formula1>
      <formula2>0</formula2>
    </dataValidation>
    <dataValidation allowBlank="false" errorStyle="stop" operator="between" showDropDown="false" showErrorMessage="false" showInputMessage="false" sqref="C10" type="list">
      <formula1>"Enero,Febrero,Marzo,Abril,Mayo,Junio,Julio,Agosto,Septiembre,Octubre,Noviembre,Diciembre"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3"/>
  </cols>
  <sheetData>
    <row r="2" customFormat="false" ht="25.5" hidden="false" customHeight="true" outlineLevel="0" collapsed="false">
      <c r="B2" s="21" t="s">
        <v>62</v>
      </c>
    </row>
    <row r="4" customFormat="false" ht="21.75" hidden="false" customHeight="true" outlineLevel="0" collapsed="false">
      <c r="B4" s="10" t="s">
        <v>63</v>
      </c>
    </row>
    <row r="5" customFormat="false" ht="15.75" hidden="false" customHeight="true" outlineLevel="0" collapsed="false">
      <c r="B5" s="22" t="s">
        <v>64</v>
      </c>
    </row>
    <row r="6" customFormat="false" ht="15.75" hidden="false" customHeight="true" outlineLevel="0" collapsed="false">
      <c r="B6" s="22" t="s">
        <v>65</v>
      </c>
    </row>
    <row r="7" customFormat="false" ht="15.75" hidden="false" customHeight="true" outlineLevel="0" collapsed="false">
      <c r="B7" s="22" t="s">
        <v>66</v>
      </c>
    </row>
    <row r="8" customFormat="false" ht="15.75" hidden="false" customHeight="true" outlineLevel="0" collapsed="false">
      <c r="B8" s="22" t="s">
        <v>67</v>
      </c>
    </row>
    <row r="9" customFormat="false" ht="15.75" hidden="false" customHeight="true" outlineLevel="0" collapsed="false">
      <c r="B9" s="22" t="s">
        <v>68</v>
      </c>
    </row>
    <row r="10" customFormat="false" ht="15.75" hidden="false" customHeight="true" outlineLevel="0" collapsed="false">
      <c r="B10" s="22" t="s">
        <v>69</v>
      </c>
    </row>
    <row r="11" customFormat="false" ht="15.75" hidden="false" customHeight="true" outlineLevel="0" collapsed="false">
      <c r="B11" s="22" t="s">
        <v>70</v>
      </c>
    </row>
    <row r="12" customFormat="false" ht="15.75" hidden="false" customHeight="true" outlineLevel="0" collapsed="false">
      <c r="B12" s="22" t="s">
        <v>71</v>
      </c>
    </row>
    <row r="13" customFormat="false" ht="15.75" hidden="false" customHeight="true" outlineLevel="0" collapsed="false">
      <c r="B13" s="22" t="s">
        <v>72</v>
      </c>
    </row>
    <row r="14" customFormat="false" ht="15.75" hidden="false" customHeight="true" outlineLevel="0" collapsed="false">
      <c r="B14" s="22" t="s">
        <v>73</v>
      </c>
    </row>
    <row r="15" customFormat="false" ht="15.75" hidden="false" customHeight="true" outlineLevel="0" collapsed="false">
      <c r="B15" s="22" t="s">
        <v>74</v>
      </c>
    </row>
    <row r="16" customFormat="false" ht="15.75" hidden="false" customHeight="true" outlineLevel="0" collapsed="false">
      <c r="B16" s="22" t="s">
        <v>75</v>
      </c>
    </row>
    <row r="17" customFormat="false" ht="15.75" hidden="false" customHeight="true" outlineLevel="0" collapsed="false">
      <c r="B17" s="22" t="s">
        <v>76</v>
      </c>
    </row>
    <row r="18" customFormat="false" ht="15.75" hidden="false" customHeight="true" outlineLevel="0" collapsed="false">
      <c r="B18" s="22" t="s">
        <v>77</v>
      </c>
    </row>
    <row r="20" customFormat="false" ht="22.35" hidden="false" customHeight="false" outlineLevel="0" collapsed="false">
      <c r="B20" s="13" t="s">
        <v>78</v>
      </c>
    </row>
  </sheetData>
  <sheetProtection sheet="true" formatCells="false" formatColumns="false" formatRows="false" insertRows="false" selectLockedCells="true" selectUnlockedCells="true"/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0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8" t="s">
        <v>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19.5" hidden="false" customHeight="true" outlineLevel="0" collapsed="false">
      <c r="A4" s="10" t="s">
        <v>80</v>
      </c>
      <c r="B4" s="10" t="s">
        <v>81</v>
      </c>
      <c r="C4" s="10" t="s">
        <v>82</v>
      </c>
      <c r="D4" s="10" t="s">
        <v>83</v>
      </c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</row>
    <row r="5" customFormat="false" ht="15" hidden="false" customHeight="false" outlineLevel="0" collapsed="false">
      <c r="A5" s="23" t="str">
        <f aca="false">Categorias!$B$5</f>
        <v>Salario</v>
      </c>
      <c r="B5" s="24" t="n">
        <v>4500</v>
      </c>
      <c r="C5" s="24" t="n">
        <v>4500</v>
      </c>
      <c r="D5" s="24" t="n">
        <v>4500</v>
      </c>
      <c r="E5" s="24" t="n">
        <v>4500</v>
      </c>
      <c r="F5" s="24" t="n">
        <v>4500</v>
      </c>
      <c r="G5" s="24" t="n">
        <v>4500</v>
      </c>
      <c r="H5" s="24" t="n">
        <v>4500</v>
      </c>
      <c r="I5" s="24" t="n">
        <v>4500</v>
      </c>
      <c r="J5" s="24" t="n">
        <v>4500</v>
      </c>
      <c r="K5" s="24" t="n">
        <v>4500</v>
      </c>
      <c r="L5" s="24" t="n">
        <v>4500</v>
      </c>
      <c r="M5" s="24" t="n">
        <v>4500</v>
      </c>
      <c r="N5" s="25" t="n">
        <f aca="false">SUM(B5:M5)</f>
        <v>54000</v>
      </c>
    </row>
    <row r="6" customFormat="false" ht="15" hidden="false" customHeight="false" outlineLevel="0" collapsed="false">
      <c r="A6" s="23" t="str">
        <f aca="false">Categorias!$B$6</f>
        <v>Freelance / Ingresos extra</v>
      </c>
      <c r="B6" s="24" t="n">
        <v>300</v>
      </c>
      <c r="C6" s="24" t="n">
        <v>300</v>
      </c>
      <c r="D6" s="24" t="n">
        <v>300</v>
      </c>
      <c r="E6" s="24" t="n">
        <v>300</v>
      </c>
      <c r="F6" s="24" t="n">
        <v>300</v>
      </c>
      <c r="G6" s="24" t="n">
        <v>300</v>
      </c>
      <c r="H6" s="24" t="n">
        <v>300</v>
      </c>
      <c r="I6" s="24" t="n">
        <v>300</v>
      </c>
      <c r="J6" s="24" t="n">
        <v>300</v>
      </c>
      <c r="K6" s="24" t="n">
        <v>300</v>
      </c>
      <c r="L6" s="24" t="n">
        <v>300</v>
      </c>
      <c r="M6" s="24" t="n">
        <v>300</v>
      </c>
      <c r="N6" s="25" t="n">
        <f aca="false">SUM(B6:M6)</f>
        <v>3600</v>
      </c>
    </row>
    <row r="7" customFormat="false" ht="15" hidden="false" customHeight="false" outlineLevel="0" collapsed="false">
      <c r="A7" s="23" t="str">
        <f aca="false">Categorias!$B$7</f>
        <v>Otros ingresos</v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5" t="n">
        <f aca="false">SUM(B7:M7)</f>
        <v>0</v>
      </c>
    </row>
    <row r="8" customFormat="false" ht="15" hidden="false" customHeight="false" outlineLevel="0" collapsed="false">
      <c r="A8" s="26" t="str">
        <f aca="false">Categorias!$B$8</f>
        <v>Vivienda (alquiler/hipoteca)</v>
      </c>
      <c r="B8" s="24" t="n">
        <v>1200</v>
      </c>
      <c r="C8" s="24" t="n">
        <v>1200</v>
      </c>
      <c r="D8" s="24" t="n">
        <v>1200</v>
      </c>
      <c r="E8" s="24" t="n">
        <v>1200</v>
      </c>
      <c r="F8" s="24" t="n">
        <v>1200</v>
      </c>
      <c r="G8" s="24" t="n">
        <v>1200</v>
      </c>
      <c r="H8" s="24" t="n">
        <v>1200</v>
      </c>
      <c r="I8" s="24" t="n">
        <v>1200</v>
      </c>
      <c r="J8" s="24" t="n">
        <v>1200</v>
      </c>
      <c r="K8" s="24" t="n">
        <v>1200</v>
      </c>
      <c r="L8" s="24" t="n">
        <v>1200</v>
      </c>
      <c r="M8" s="24" t="n">
        <v>1200</v>
      </c>
      <c r="N8" s="25" t="n">
        <f aca="false">SUM(B8:M8)</f>
        <v>14400</v>
      </c>
    </row>
    <row r="9" customFormat="false" ht="15" hidden="false" customHeight="false" outlineLevel="0" collapsed="false">
      <c r="A9" s="26" t="str">
        <f aca="false">Categorias!$B$9</f>
        <v>Alimentación</v>
      </c>
      <c r="B9" s="24" t="n">
        <v>200</v>
      </c>
      <c r="C9" s="24" t="n">
        <v>200</v>
      </c>
      <c r="D9" s="24" t="n">
        <v>200</v>
      </c>
      <c r="E9" s="24" t="n">
        <v>200</v>
      </c>
      <c r="F9" s="24" t="n">
        <v>200</v>
      </c>
      <c r="G9" s="24" t="n">
        <v>200</v>
      </c>
      <c r="H9" s="24" t="n">
        <v>200</v>
      </c>
      <c r="I9" s="24" t="n">
        <v>200</v>
      </c>
      <c r="J9" s="24" t="n">
        <v>200</v>
      </c>
      <c r="K9" s="24" t="n">
        <v>200</v>
      </c>
      <c r="L9" s="24" t="n">
        <v>200</v>
      </c>
      <c r="M9" s="24" t="n">
        <v>200</v>
      </c>
      <c r="N9" s="25" t="n">
        <f aca="false">SUM(B9:M9)</f>
        <v>2400</v>
      </c>
    </row>
    <row r="10" customFormat="false" ht="15" hidden="false" customHeight="false" outlineLevel="0" collapsed="false">
      <c r="A10" s="26" t="str">
        <f aca="false">Categorias!$B$10</f>
        <v>Transporte</v>
      </c>
      <c r="B10" s="24" t="n">
        <v>100</v>
      </c>
      <c r="C10" s="24" t="n">
        <v>100</v>
      </c>
      <c r="D10" s="24" t="n">
        <v>100</v>
      </c>
      <c r="E10" s="24" t="n">
        <v>100</v>
      </c>
      <c r="F10" s="24" t="n">
        <v>100</v>
      </c>
      <c r="G10" s="24" t="n">
        <v>100</v>
      </c>
      <c r="H10" s="24" t="n">
        <v>100</v>
      </c>
      <c r="I10" s="24" t="n">
        <v>100</v>
      </c>
      <c r="J10" s="24" t="n">
        <v>100</v>
      </c>
      <c r="K10" s="24" t="n">
        <v>100</v>
      </c>
      <c r="L10" s="24" t="n">
        <v>100</v>
      </c>
      <c r="M10" s="24" t="n">
        <v>100</v>
      </c>
      <c r="N10" s="25" t="n">
        <f aca="false">SUM(B10:M10)</f>
        <v>1200</v>
      </c>
    </row>
    <row r="11" customFormat="false" ht="15" hidden="false" customHeight="false" outlineLevel="0" collapsed="false">
      <c r="A11" s="26" t="str">
        <f aca="false">Categorias!$B$11</f>
        <v>Servicios (luz, agua, internet)</v>
      </c>
      <c r="B11" s="24" t="n">
        <v>80</v>
      </c>
      <c r="C11" s="24" t="n">
        <v>80</v>
      </c>
      <c r="D11" s="24" t="n">
        <v>80</v>
      </c>
      <c r="E11" s="24" t="n">
        <v>80</v>
      </c>
      <c r="F11" s="24" t="n">
        <v>80</v>
      </c>
      <c r="G11" s="24" t="n">
        <v>80</v>
      </c>
      <c r="H11" s="24" t="n">
        <v>80</v>
      </c>
      <c r="I11" s="24" t="n">
        <v>80</v>
      </c>
      <c r="J11" s="24" t="n">
        <v>80</v>
      </c>
      <c r="K11" s="24" t="n">
        <v>80</v>
      </c>
      <c r="L11" s="24" t="n">
        <v>80</v>
      </c>
      <c r="M11" s="24" t="n">
        <v>80</v>
      </c>
      <c r="N11" s="25" t="n">
        <f aca="false">SUM(B11:M11)</f>
        <v>960</v>
      </c>
    </row>
    <row r="12" customFormat="false" ht="15" hidden="false" customHeight="false" outlineLevel="0" collapsed="false">
      <c r="A12" s="26" t="str">
        <f aca="false">Categorias!$B$12</f>
        <v>Salud</v>
      </c>
      <c r="B12" s="24" t="n">
        <v>60</v>
      </c>
      <c r="C12" s="24" t="n">
        <v>60</v>
      </c>
      <c r="D12" s="24" t="n">
        <v>60</v>
      </c>
      <c r="E12" s="24" t="n">
        <v>60</v>
      </c>
      <c r="F12" s="24" t="n">
        <v>60</v>
      </c>
      <c r="G12" s="24" t="n">
        <v>60</v>
      </c>
      <c r="H12" s="24" t="n">
        <v>60</v>
      </c>
      <c r="I12" s="24" t="n">
        <v>60</v>
      </c>
      <c r="J12" s="24" t="n">
        <v>60</v>
      </c>
      <c r="K12" s="24" t="n">
        <v>60</v>
      </c>
      <c r="L12" s="24" t="n">
        <v>60</v>
      </c>
      <c r="M12" s="24" t="n">
        <v>60</v>
      </c>
      <c r="N12" s="25" t="n">
        <f aca="false">SUM(B12:M12)</f>
        <v>720</v>
      </c>
    </row>
    <row r="13" customFormat="false" ht="15" hidden="false" customHeight="false" outlineLevel="0" collapsed="false">
      <c r="A13" s="26" t="str">
        <f aca="false">Categorias!$B$13</f>
        <v>Educación</v>
      </c>
      <c r="B13" s="24" t="n">
        <v>80</v>
      </c>
      <c r="C13" s="24" t="n">
        <v>80</v>
      </c>
      <c r="D13" s="24" t="n">
        <v>80</v>
      </c>
      <c r="E13" s="24" t="n">
        <v>80</v>
      </c>
      <c r="F13" s="24" t="n">
        <v>80</v>
      </c>
      <c r="G13" s="24" t="n">
        <v>80</v>
      </c>
      <c r="H13" s="24" t="n">
        <v>80</v>
      </c>
      <c r="I13" s="24" t="n">
        <v>80</v>
      </c>
      <c r="J13" s="24" t="n">
        <v>80</v>
      </c>
      <c r="K13" s="24" t="n">
        <v>80</v>
      </c>
      <c r="L13" s="24" t="n">
        <v>80</v>
      </c>
      <c r="M13" s="24" t="n">
        <v>80</v>
      </c>
      <c r="N13" s="25" t="n">
        <f aca="false">SUM(B13:M13)</f>
        <v>960</v>
      </c>
    </row>
    <row r="14" customFormat="false" ht="15" hidden="false" customHeight="false" outlineLevel="0" collapsed="false">
      <c r="A14" s="26" t="str">
        <f aca="false">Categorias!$B$14</f>
        <v>Entretenimiento</v>
      </c>
      <c r="B14" s="24" t="n">
        <v>60</v>
      </c>
      <c r="C14" s="24" t="n">
        <v>60</v>
      </c>
      <c r="D14" s="24" t="n">
        <v>60</v>
      </c>
      <c r="E14" s="24" t="n">
        <v>60</v>
      </c>
      <c r="F14" s="24" t="n">
        <v>60</v>
      </c>
      <c r="G14" s="24" t="n">
        <v>60</v>
      </c>
      <c r="H14" s="24" t="n">
        <v>60</v>
      </c>
      <c r="I14" s="24" t="n">
        <v>60</v>
      </c>
      <c r="J14" s="24" t="n">
        <v>60</v>
      </c>
      <c r="K14" s="24" t="n">
        <v>60</v>
      </c>
      <c r="L14" s="24" t="n">
        <v>60</v>
      </c>
      <c r="M14" s="24" t="n">
        <v>60</v>
      </c>
      <c r="N14" s="25" t="n">
        <f aca="false">SUM(B14:M14)</f>
        <v>720</v>
      </c>
    </row>
    <row r="15" customFormat="false" ht="15" hidden="false" customHeight="false" outlineLevel="0" collapsed="false">
      <c r="A15" s="26" t="str">
        <f aca="false">Categorias!$B$15</f>
        <v>Ropa y cuidado personal</v>
      </c>
      <c r="B15" s="24" t="n">
        <v>50</v>
      </c>
      <c r="C15" s="24" t="n">
        <v>50</v>
      </c>
      <c r="D15" s="24" t="n">
        <v>50</v>
      </c>
      <c r="E15" s="24" t="n">
        <v>50</v>
      </c>
      <c r="F15" s="24" t="n">
        <v>50</v>
      </c>
      <c r="G15" s="24" t="n">
        <v>50</v>
      </c>
      <c r="H15" s="24" t="n">
        <v>50</v>
      </c>
      <c r="I15" s="24" t="n">
        <v>50</v>
      </c>
      <c r="J15" s="24" t="n">
        <v>50</v>
      </c>
      <c r="K15" s="24" t="n">
        <v>50</v>
      </c>
      <c r="L15" s="24" t="n">
        <v>50</v>
      </c>
      <c r="M15" s="24" t="n">
        <v>50</v>
      </c>
      <c r="N15" s="25" t="n">
        <f aca="false">SUM(B15:M15)</f>
        <v>600</v>
      </c>
    </row>
    <row r="16" customFormat="false" ht="15" hidden="false" customHeight="false" outlineLevel="0" collapsed="false">
      <c r="A16" s="26" t="str">
        <f aca="false">Categorias!$B$16</f>
        <v>Ahorro e inversión</v>
      </c>
      <c r="B16" s="24" t="n">
        <v>300</v>
      </c>
      <c r="C16" s="24" t="n">
        <v>300</v>
      </c>
      <c r="D16" s="24" t="n">
        <v>300</v>
      </c>
      <c r="E16" s="24" t="n">
        <v>300</v>
      </c>
      <c r="F16" s="24" t="n">
        <v>300</v>
      </c>
      <c r="G16" s="24" t="n">
        <v>300</v>
      </c>
      <c r="H16" s="24" t="n">
        <v>300</v>
      </c>
      <c r="I16" s="24" t="n">
        <v>300</v>
      </c>
      <c r="J16" s="24" t="n">
        <v>300</v>
      </c>
      <c r="K16" s="24" t="n">
        <v>300</v>
      </c>
      <c r="L16" s="24" t="n">
        <v>300</v>
      </c>
      <c r="M16" s="24" t="n">
        <v>300</v>
      </c>
      <c r="N16" s="25" t="n">
        <f aca="false">SUM(B16:M16)</f>
        <v>3600</v>
      </c>
    </row>
    <row r="17" customFormat="false" ht="15" hidden="false" customHeight="false" outlineLevel="0" collapsed="false">
      <c r="A17" s="26" t="str">
        <f aca="false">Categorias!$B$17</f>
        <v>Deudas y préstamos</v>
      </c>
      <c r="B17" s="24" t="n">
        <v>250</v>
      </c>
      <c r="C17" s="24" t="n">
        <v>250</v>
      </c>
      <c r="D17" s="24" t="n">
        <v>250</v>
      </c>
      <c r="E17" s="24" t="n">
        <v>250</v>
      </c>
      <c r="F17" s="24" t="n">
        <v>250</v>
      </c>
      <c r="G17" s="24" t="n">
        <v>250</v>
      </c>
      <c r="H17" s="24" t="n">
        <v>250</v>
      </c>
      <c r="I17" s="24" t="n">
        <v>250</v>
      </c>
      <c r="J17" s="24" t="n">
        <v>250</v>
      </c>
      <c r="K17" s="24" t="n">
        <v>250</v>
      </c>
      <c r="L17" s="24" t="n">
        <v>250</v>
      </c>
      <c r="M17" s="24" t="n">
        <v>250</v>
      </c>
      <c r="N17" s="25" t="n">
        <f aca="false">SUM(B17:M17)</f>
        <v>3000</v>
      </c>
    </row>
    <row r="18" customFormat="false" ht="15" hidden="false" customHeight="false" outlineLevel="0" collapsed="false">
      <c r="A18" s="26" t="str">
        <f aca="false">Categorias!$B$18</f>
        <v>Otros gastos</v>
      </c>
      <c r="B18" s="24" t="n">
        <v>50</v>
      </c>
      <c r="C18" s="24" t="n">
        <v>50</v>
      </c>
      <c r="D18" s="24" t="n">
        <v>50</v>
      </c>
      <c r="E18" s="24" t="n">
        <v>50</v>
      </c>
      <c r="F18" s="24" t="n">
        <v>50</v>
      </c>
      <c r="G18" s="24" t="n">
        <v>50</v>
      </c>
      <c r="H18" s="24" t="n">
        <v>50</v>
      </c>
      <c r="I18" s="24" t="n">
        <v>50</v>
      </c>
      <c r="J18" s="24" t="n">
        <v>50</v>
      </c>
      <c r="K18" s="24" t="n">
        <v>50</v>
      </c>
      <c r="L18" s="24" t="n">
        <v>50</v>
      </c>
      <c r="M18" s="24" t="n">
        <v>50</v>
      </c>
      <c r="N18" s="25" t="n">
        <f aca="false">SUM(B18:M18)</f>
        <v>600</v>
      </c>
    </row>
    <row r="19" customFormat="false" ht="15" hidden="false" customHeight="false" outlineLevel="0" collapsed="false">
      <c r="A19" s="23" t="s">
        <v>94</v>
      </c>
      <c r="B19" s="25" t="n">
        <f aca="false">SUM(B5:B18)</f>
        <v>7230</v>
      </c>
      <c r="C19" s="25" t="n">
        <f aca="false">SUM(C5:C18)</f>
        <v>7230</v>
      </c>
      <c r="D19" s="25" t="n">
        <f aca="false">SUM(D5:D18)</f>
        <v>7230</v>
      </c>
      <c r="E19" s="25" t="n">
        <f aca="false">SUM(E5:E18)</f>
        <v>7230</v>
      </c>
      <c r="F19" s="25" t="n">
        <f aca="false">SUM(F5:F18)</f>
        <v>7230</v>
      </c>
      <c r="G19" s="25" t="n">
        <f aca="false">SUM(G5:G18)</f>
        <v>7230</v>
      </c>
      <c r="H19" s="25" t="n">
        <f aca="false">SUM(H5:H18)</f>
        <v>7230</v>
      </c>
      <c r="I19" s="25" t="n">
        <f aca="false">SUM(I5:I18)</f>
        <v>7230</v>
      </c>
      <c r="J19" s="25" t="n">
        <f aca="false">SUM(J5:J18)</f>
        <v>7230</v>
      </c>
      <c r="K19" s="25" t="n">
        <f aca="false">SUM(K5:K18)</f>
        <v>7230</v>
      </c>
      <c r="L19" s="25" t="n">
        <f aca="false">SUM(L5:L18)</f>
        <v>7230</v>
      </c>
      <c r="M19" s="25" t="n">
        <f aca="false">SUM(M5:M18)</f>
        <v>7230</v>
      </c>
      <c r="N19" s="25" t="n">
        <f aca="false">SUM(N5:N18)</f>
        <v>86760</v>
      </c>
    </row>
  </sheetData>
  <sheetProtection sheet="true" formatCells="false" formatColumns="false" formatRows="false" insertRows="false" selectLockedCells="true" selectUnlockedCells="true"/>
  <mergeCells count="1">
    <mergeCell ref="A2:N2"/>
  </mergeCells>
  <dataValidations count="1">
    <dataValidation allowBlank="true" error="Ingresa un número igual o mayor a 0." errorStyle="stop" errorTitle="Monto inválido" operator="greaterThanOrEqual" showDropDown="false" showErrorMessage="true" showInputMessage="false" sqref="B5:M18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0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8" t="s">
        <v>95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19.5" hidden="false" customHeight="true" outlineLevel="0" collapsed="false">
      <c r="A4" s="10" t="s">
        <v>80</v>
      </c>
      <c r="B4" s="10" t="s">
        <v>81</v>
      </c>
      <c r="C4" s="10" t="s">
        <v>82</v>
      </c>
      <c r="D4" s="10" t="s">
        <v>83</v>
      </c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</row>
    <row r="5" customFormat="false" ht="15" hidden="false" customHeight="false" outlineLevel="0" collapsed="false">
      <c r="A5" s="23" t="str">
        <f aca="false">Categorias!$B$5</f>
        <v>Salario</v>
      </c>
      <c r="B5" s="24" t="n">
        <v>4500</v>
      </c>
      <c r="C5" s="24" t="n">
        <v>4500</v>
      </c>
      <c r="D5" s="24" t="n">
        <v>4600</v>
      </c>
      <c r="E5" s="24"/>
      <c r="F5" s="24"/>
      <c r="G5" s="24"/>
      <c r="H5" s="24"/>
      <c r="I5" s="24"/>
      <c r="J5" s="24"/>
      <c r="K5" s="24"/>
      <c r="L5" s="24"/>
      <c r="M5" s="24"/>
      <c r="N5" s="25" t="n">
        <f aca="false">SUM(B5:M5)</f>
        <v>13600</v>
      </c>
    </row>
    <row r="6" customFormat="false" ht="15" hidden="false" customHeight="false" outlineLevel="0" collapsed="false">
      <c r="A6" s="23" t="str">
        <f aca="false">Categorias!$B$6</f>
        <v>Freelance / Ingresos extra</v>
      </c>
      <c r="B6" s="24" t="n">
        <v>350</v>
      </c>
      <c r="C6" s="24" t="n">
        <v>0</v>
      </c>
      <c r="D6" s="24" t="n">
        <v>0</v>
      </c>
      <c r="E6" s="24"/>
      <c r="F6" s="24"/>
      <c r="G6" s="24"/>
      <c r="H6" s="24"/>
      <c r="I6" s="24"/>
      <c r="J6" s="24"/>
      <c r="K6" s="24"/>
      <c r="L6" s="24"/>
      <c r="M6" s="24"/>
      <c r="N6" s="25" t="n">
        <f aca="false">SUM(B6:M6)</f>
        <v>350</v>
      </c>
    </row>
    <row r="7" customFormat="false" ht="15" hidden="false" customHeight="false" outlineLevel="0" collapsed="false">
      <c r="A7" s="23" t="str">
        <f aca="false">Categorias!$B$7</f>
        <v>Otros ingresos</v>
      </c>
      <c r="B7" s="24" t="n">
        <v>0</v>
      </c>
      <c r="C7" s="24" t="n">
        <v>150</v>
      </c>
      <c r="D7" s="24" t="n">
        <v>0</v>
      </c>
      <c r="E7" s="24"/>
      <c r="F7" s="24"/>
      <c r="G7" s="24"/>
      <c r="H7" s="24"/>
      <c r="I7" s="24"/>
      <c r="J7" s="24"/>
      <c r="K7" s="24"/>
      <c r="L7" s="24"/>
      <c r="M7" s="24"/>
      <c r="N7" s="25" t="n">
        <f aca="false">SUM(B7:M7)</f>
        <v>150</v>
      </c>
    </row>
    <row r="8" customFormat="false" ht="15" hidden="false" customHeight="false" outlineLevel="0" collapsed="false">
      <c r="A8" s="26" t="str">
        <f aca="false">Categorias!$B$8</f>
        <v>Vivienda (alquiler/hipoteca)</v>
      </c>
      <c r="B8" s="24" t="n">
        <v>1200</v>
      </c>
      <c r="C8" s="24" t="n">
        <v>1200</v>
      </c>
      <c r="D8" s="24" t="n">
        <v>1200</v>
      </c>
      <c r="E8" s="24"/>
      <c r="F8" s="24"/>
      <c r="G8" s="24"/>
      <c r="H8" s="24"/>
      <c r="I8" s="24"/>
      <c r="J8" s="24"/>
      <c r="K8" s="24"/>
      <c r="L8" s="24"/>
      <c r="M8" s="24"/>
      <c r="N8" s="25" t="n">
        <f aca="false">SUM(B8:M8)</f>
        <v>3600</v>
      </c>
    </row>
    <row r="9" customFormat="false" ht="15" hidden="false" customHeight="false" outlineLevel="0" collapsed="false">
      <c r="A9" s="26" t="str">
        <f aca="false">Categorias!$B$9</f>
        <v>Alimentación</v>
      </c>
      <c r="B9" s="24" t="n">
        <v>180</v>
      </c>
      <c r="C9" s="24" t="n">
        <v>210</v>
      </c>
      <c r="D9" s="24" t="n">
        <v>195</v>
      </c>
      <c r="E9" s="24"/>
      <c r="F9" s="24"/>
      <c r="G9" s="24"/>
      <c r="H9" s="24"/>
      <c r="I9" s="24"/>
      <c r="J9" s="24"/>
      <c r="K9" s="24"/>
      <c r="L9" s="24"/>
      <c r="M9" s="24"/>
      <c r="N9" s="25" t="n">
        <f aca="false">SUM(B9:M9)</f>
        <v>585</v>
      </c>
    </row>
    <row r="10" customFormat="false" ht="15" hidden="false" customHeight="false" outlineLevel="0" collapsed="false">
      <c r="A10" s="26" t="str">
        <f aca="false">Categorias!$B$10</f>
        <v>Transporte</v>
      </c>
      <c r="B10" s="24" t="n">
        <v>60</v>
      </c>
      <c r="C10" s="24" t="n">
        <v>120</v>
      </c>
      <c r="D10" s="24" t="n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5" t="n">
        <f aca="false">SUM(B10:M10)</f>
        <v>180</v>
      </c>
    </row>
    <row r="11" customFormat="false" ht="15" hidden="false" customHeight="false" outlineLevel="0" collapsed="false">
      <c r="A11" s="26" t="str">
        <f aca="false">Categorias!$B$11</f>
        <v>Servicios (luz, agua, internet)</v>
      </c>
      <c r="B11" s="24" t="n">
        <v>75</v>
      </c>
      <c r="C11" s="24" t="n">
        <v>0</v>
      </c>
      <c r="D11" s="24" t="n"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5" t="n">
        <f aca="false">SUM(B11:M11)</f>
        <v>75</v>
      </c>
    </row>
    <row r="12" customFormat="false" ht="15" hidden="false" customHeight="false" outlineLevel="0" collapsed="false">
      <c r="A12" s="26" t="str">
        <f aca="false">Categorias!$B$12</f>
        <v>Salud</v>
      </c>
      <c r="B12" s="24" t="n">
        <v>90</v>
      </c>
      <c r="C12" s="24" t="n">
        <v>0</v>
      </c>
      <c r="D12" s="24" t="n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5" t="n">
        <f aca="false">SUM(B12:M12)</f>
        <v>90</v>
      </c>
    </row>
    <row r="13" customFormat="false" ht="15" hidden="false" customHeight="false" outlineLevel="0" collapsed="false">
      <c r="A13" s="26" t="str">
        <f aca="false">Categorias!$B$13</f>
        <v>Educación</v>
      </c>
      <c r="B13" s="24" t="n">
        <v>0</v>
      </c>
      <c r="C13" s="24" t="n">
        <v>80</v>
      </c>
      <c r="D13" s="24" t="n"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5" t="n">
        <f aca="false">SUM(B13:M13)</f>
        <v>80</v>
      </c>
    </row>
    <row r="14" customFormat="false" ht="15" hidden="false" customHeight="false" outlineLevel="0" collapsed="false">
      <c r="A14" s="26" t="str">
        <f aca="false">Categorias!$B$14</f>
        <v>Entretenimiento</v>
      </c>
      <c r="B14" s="24" t="n">
        <v>45</v>
      </c>
      <c r="C14" s="24" t="n">
        <v>25</v>
      </c>
      <c r="D14" s="24" t="n"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5" t="n">
        <f aca="false">SUM(B14:M14)</f>
        <v>70</v>
      </c>
    </row>
    <row r="15" customFormat="false" ht="15" hidden="false" customHeight="false" outlineLevel="0" collapsed="false">
      <c r="A15" s="26" t="str">
        <f aca="false">Categorias!$B$15</f>
        <v>Ropa y cuidado personal</v>
      </c>
      <c r="B15" s="24" t="n">
        <v>0</v>
      </c>
      <c r="C15" s="24" t="n">
        <v>0</v>
      </c>
      <c r="D15" s="24" t="n">
        <v>0</v>
      </c>
      <c r="E15" s="24"/>
      <c r="F15" s="24"/>
      <c r="G15" s="24"/>
      <c r="H15" s="24"/>
      <c r="I15" s="24"/>
      <c r="J15" s="24"/>
      <c r="K15" s="24"/>
      <c r="L15" s="24"/>
      <c r="M15" s="24"/>
      <c r="N15" s="25" t="n">
        <f aca="false">SUM(B15:M15)</f>
        <v>0</v>
      </c>
    </row>
    <row r="16" customFormat="false" ht="15" hidden="false" customHeight="false" outlineLevel="0" collapsed="false">
      <c r="A16" s="26" t="str">
        <f aca="false">Categorias!$B$16</f>
        <v>Ahorro e inversión</v>
      </c>
      <c r="B16" s="24" t="n">
        <v>300</v>
      </c>
      <c r="C16" s="24" t="n">
        <v>0</v>
      </c>
      <c r="D16" s="24" t="n"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5" t="n">
        <f aca="false">SUM(B16:M16)</f>
        <v>300</v>
      </c>
    </row>
    <row r="17" customFormat="false" ht="15" hidden="false" customHeight="false" outlineLevel="0" collapsed="false">
      <c r="A17" s="26" t="str">
        <f aca="false">Categorias!$B$17</f>
        <v>Deudas y préstamos</v>
      </c>
      <c r="B17" s="24" t="n">
        <v>0</v>
      </c>
      <c r="C17" s="24" t="n">
        <v>0</v>
      </c>
      <c r="D17" s="24" t="n">
        <v>250</v>
      </c>
      <c r="E17" s="24"/>
      <c r="F17" s="24"/>
      <c r="G17" s="24"/>
      <c r="H17" s="24"/>
      <c r="I17" s="24"/>
      <c r="J17" s="24"/>
      <c r="K17" s="24"/>
      <c r="L17" s="24"/>
      <c r="M17" s="24"/>
      <c r="N17" s="25" t="n">
        <f aca="false">SUM(B17:M17)</f>
        <v>250</v>
      </c>
    </row>
    <row r="18" customFormat="false" ht="15" hidden="false" customHeight="false" outlineLevel="0" collapsed="false">
      <c r="A18" s="26" t="str">
        <f aca="false">Categorias!$B$18</f>
        <v>Otros gastos</v>
      </c>
      <c r="B18" s="24" t="n">
        <v>0</v>
      </c>
      <c r="C18" s="24" t="n">
        <v>0</v>
      </c>
      <c r="D18" s="24" t="n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5" t="n">
        <f aca="false">SUM(B18:M18)</f>
        <v>0</v>
      </c>
    </row>
    <row r="19" customFormat="false" ht="15" hidden="false" customHeight="false" outlineLevel="0" collapsed="false">
      <c r="A19" s="23" t="s">
        <v>94</v>
      </c>
      <c r="B19" s="25" t="n">
        <f aca="false">SUM(B5:B18)</f>
        <v>6800</v>
      </c>
      <c r="C19" s="25" t="n">
        <f aca="false">SUM(C5:C18)</f>
        <v>6285</v>
      </c>
      <c r="D19" s="25" t="n">
        <f aca="false">SUM(D5:D18)</f>
        <v>6245</v>
      </c>
      <c r="E19" s="25" t="n">
        <f aca="false">SUM(E5:E18)</f>
        <v>0</v>
      </c>
      <c r="F19" s="25" t="n">
        <f aca="false">SUM(F5:F18)</f>
        <v>0</v>
      </c>
      <c r="G19" s="25" t="n">
        <f aca="false">SUM(G5:G18)</f>
        <v>0</v>
      </c>
      <c r="H19" s="25" t="n">
        <f aca="false">SUM(H5:H18)</f>
        <v>0</v>
      </c>
      <c r="I19" s="25" t="n">
        <f aca="false">SUM(I5:I18)</f>
        <v>0</v>
      </c>
      <c r="J19" s="25" t="n">
        <f aca="false">SUM(J5:J18)</f>
        <v>0</v>
      </c>
      <c r="K19" s="25" t="n">
        <f aca="false">SUM(K5:K18)</f>
        <v>0</v>
      </c>
      <c r="L19" s="25" t="n">
        <f aca="false">SUM(L5:L18)</f>
        <v>0</v>
      </c>
      <c r="M19" s="25" t="n">
        <f aca="false">SUM(M5:M18)</f>
        <v>0</v>
      </c>
      <c r="N19" s="25" t="n">
        <f aca="false">SUM(N5:N18)</f>
        <v>19330</v>
      </c>
    </row>
  </sheetData>
  <sheetProtection sheet="true" formatCells="false" formatColumns="false" formatRows="false" insertRows="false" selectLockedCells="true" selectUnlockedCells="true"/>
  <mergeCells count="1">
    <mergeCell ref="A2:N2"/>
  </mergeCells>
  <dataValidations count="1">
    <dataValidation allowBlank="true" error="Ingresa un número igual o mayor a 0." errorStyle="stop" errorTitle="Monto inválido" operator="greaterThanOrEqual" showDropDown="false" showErrorMessage="true" showInputMessage="false" sqref="B5:M18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8" t="s">
        <v>96</v>
      </c>
      <c r="C2" s="8"/>
      <c r="D2" s="8"/>
      <c r="E2" s="8"/>
      <c r="F2" s="8"/>
    </row>
    <row r="3" customFormat="false" ht="15" hidden="false" customHeight="false" outlineLevel="0" collapsed="false">
      <c r="B3" s="7" t="str">
        <f aca="false">" Mes analizado: " &amp; Configuracion!$C$10 &amp; "   |   Moneda: " &amp; Configuracion!$C$8</f>
        <v> Mes analizado: Enero   |   Moneda: Local</v>
      </c>
      <c r="C3" s="7"/>
      <c r="D3" s="7"/>
      <c r="E3" s="7"/>
      <c r="F3" s="7"/>
    </row>
    <row r="5" customFormat="false" ht="19.5" hidden="false" customHeight="true" outlineLevel="0" collapsed="false">
      <c r="B5" s="27" t="s">
        <v>97</v>
      </c>
      <c r="C5" s="27"/>
      <c r="D5" s="27"/>
      <c r="E5" s="27"/>
      <c r="F5" s="27"/>
    </row>
    <row r="6" customFormat="false" ht="18" hidden="false" customHeight="true" outlineLevel="0" collapsed="false">
      <c r="B6" s="10" t="s">
        <v>80</v>
      </c>
      <c r="C6" s="10" t="s">
        <v>98</v>
      </c>
      <c r="D6" s="10" t="s">
        <v>99</v>
      </c>
      <c r="E6" s="10" t="s">
        <v>100</v>
      </c>
      <c r="F6" s="10" t="s">
        <v>101</v>
      </c>
    </row>
    <row r="7" customFormat="false" ht="15" hidden="false" customHeight="false" outlineLevel="0" collapsed="false">
      <c r="B7" s="28" t="str">
        <f aca="false">Categorias!$B$5</f>
        <v>Salario</v>
      </c>
      <c r="C7" s="29" t="n">
        <f aca="false">INDEX(Presupuesto!$B$5:$M$5,Configuracion!$C$14)*Configuracion!$C$12</f>
        <v>4500</v>
      </c>
      <c r="D7" s="29" t="n">
        <f aca="false">INDEX(Real!$B$5:$M$5,Configuracion!$C$14)*Configuracion!$C$12</f>
        <v>4500</v>
      </c>
      <c r="E7" s="29" t="n">
        <f aca="false">C7-D7</f>
        <v>0</v>
      </c>
      <c r="F7" s="30" t="n">
        <f aca="false">IF(C7=0,0,D7/C7)</f>
        <v>1</v>
      </c>
    </row>
    <row r="8" customFormat="false" ht="15" hidden="false" customHeight="false" outlineLevel="0" collapsed="false">
      <c r="B8" s="28" t="str">
        <f aca="false">Categorias!$B$6</f>
        <v>Freelance / Ingresos extra</v>
      </c>
      <c r="C8" s="29" t="n">
        <f aca="false">INDEX(Presupuesto!$B$6:$M$6,Configuracion!$C$14)*Configuracion!$C$12</f>
        <v>300</v>
      </c>
      <c r="D8" s="29" t="n">
        <f aca="false">INDEX(Real!$B$6:$M$6,Configuracion!$C$14)*Configuracion!$C$12</f>
        <v>350</v>
      </c>
      <c r="E8" s="29" t="n">
        <f aca="false">C8-D8</f>
        <v>-50</v>
      </c>
      <c r="F8" s="30" t="n">
        <f aca="false">IF(C8=0,0,D8/C8)</f>
        <v>1.16666666666667</v>
      </c>
    </row>
    <row r="9" customFormat="false" ht="15" hidden="false" customHeight="false" outlineLevel="0" collapsed="false">
      <c r="B9" s="28" t="str">
        <f aca="false">Categorias!$B$7</f>
        <v>Otros ingresos</v>
      </c>
      <c r="C9" s="29" t="n">
        <f aca="false">INDEX(Presupuesto!$B$7:$M$7,Configuracion!$C$14)*Configuracion!$C$12</f>
        <v>0</v>
      </c>
      <c r="D9" s="29" t="n">
        <f aca="false">INDEX(Real!$B$7:$M$7,Configuracion!$C$14)*Configuracion!$C$12</f>
        <v>0</v>
      </c>
      <c r="E9" s="29" t="n">
        <f aca="false">C9-D9</f>
        <v>0</v>
      </c>
      <c r="F9" s="30" t="n">
        <f aca="false">IF(C9=0,0,D9/C9)</f>
        <v>0</v>
      </c>
    </row>
    <row r="10" customFormat="false" ht="15" hidden="false" customHeight="false" outlineLevel="0" collapsed="false">
      <c r="B10" s="28" t="str">
        <f aca="false">Categorias!$B$8</f>
        <v>Vivienda (alquiler/hipoteca)</v>
      </c>
      <c r="C10" s="29" t="n">
        <f aca="false">INDEX(Presupuesto!$B$8:$M$8,Configuracion!$C$14)*Configuracion!$C$12</f>
        <v>1200</v>
      </c>
      <c r="D10" s="29" t="n">
        <f aca="false">INDEX(Real!$B$8:$M$8,Configuracion!$C$14)*Configuracion!$C$12</f>
        <v>1200</v>
      </c>
      <c r="E10" s="29" t="n">
        <f aca="false">C10-D10</f>
        <v>0</v>
      </c>
      <c r="F10" s="30" t="n">
        <f aca="false">IF(C10=0,0,D10/C10)</f>
        <v>1</v>
      </c>
    </row>
    <row r="11" customFormat="false" ht="15" hidden="false" customHeight="false" outlineLevel="0" collapsed="false">
      <c r="B11" s="28" t="str">
        <f aca="false">Categorias!$B$9</f>
        <v>Alimentación</v>
      </c>
      <c r="C11" s="29" t="n">
        <f aca="false">INDEX(Presupuesto!$B$9:$M$9,Configuracion!$C$14)*Configuracion!$C$12</f>
        <v>200</v>
      </c>
      <c r="D11" s="29" t="n">
        <f aca="false">INDEX(Real!$B$9:$M$9,Configuracion!$C$14)*Configuracion!$C$12</f>
        <v>180</v>
      </c>
      <c r="E11" s="29" t="n">
        <f aca="false">C11-D11</f>
        <v>20</v>
      </c>
      <c r="F11" s="30" t="n">
        <f aca="false">IF(C11=0,0,D11/C11)</f>
        <v>0.9</v>
      </c>
    </row>
    <row r="12" customFormat="false" ht="15" hidden="false" customHeight="false" outlineLevel="0" collapsed="false">
      <c r="B12" s="28" t="str">
        <f aca="false">Categorias!$B$10</f>
        <v>Transporte</v>
      </c>
      <c r="C12" s="29" t="n">
        <f aca="false">INDEX(Presupuesto!$B$10:$M$10,Configuracion!$C$14)*Configuracion!$C$12</f>
        <v>100</v>
      </c>
      <c r="D12" s="29" t="n">
        <f aca="false">INDEX(Real!$B$10:$M$10,Configuracion!$C$14)*Configuracion!$C$12</f>
        <v>60</v>
      </c>
      <c r="E12" s="29" t="n">
        <f aca="false">C12-D12</f>
        <v>40</v>
      </c>
      <c r="F12" s="30" t="n">
        <f aca="false">IF(C12=0,0,D12/C12)</f>
        <v>0.6</v>
      </c>
    </row>
    <row r="13" customFormat="false" ht="15" hidden="false" customHeight="false" outlineLevel="0" collapsed="false">
      <c r="B13" s="28" t="str">
        <f aca="false">Categorias!$B$11</f>
        <v>Servicios (luz, agua, internet)</v>
      </c>
      <c r="C13" s="29" t="n">
        <f aca="false">INDEX(Presupuesto!$B$11:$M$11,Configuracion!$C$14)*Configuracion!$C$12</f>
        <v>80</v>
      </c>
      <c r="D13" s="29" t="n">
        <f aca="false">INDEX(Real!$B$11:$M$11,Configuracion!$C$14)*Configuracion!$C$12</f>
        <v>75</v>
      </c>
      <c r="E13" s="29" t="n">
        <f aca="false">C13-D13</f>
        <v>5</v>
      </c>
      <c r="F13" s="30" t="n">
        <f aca="false">IF(C13=0,0,D13/C13)</f>
        <v>0.9375</v>
      </c>
    </row>
    <row r="14" customFormat="false" ht="15" hidden="false" customHeight="false" outlineLevel="0" collapsed="false">
      <c r="B14" s="28" t="str">
        <f aca="false">Categorias!$B$12</f>
        <v>Salud</v>
      </c>
      <c r="C14" s="29" t="n">
        <f aca="false">INDEX(Presupuesto!$B$12:$M$12,Configuracion!$C$14)*Configuracion!$C$12</f>
        <v>60</v>
      </c>
      <c r="D14" s="29" t="n">
        <f aca="false">INDEX(Real!$B$12:$M$12,Configuracion!$C$14)*Configuracion!$C$12</f>
        <v>90</v>
      </c>
      <c r="E14" s="29" t="n">
        <f aca="false">C14-D14</f>
        <v>-30</v>
      </c>
      <c r="F14" s="30" t="n">
        <f aca="false">IF(C14=0,0,D14/C14)</f>
        <v>1.5</v>
      </c>
    </row>
    <row r="15" customFormat="false" ht="15" hidden="false" customHeight="false" outlineLevel="0" collapsed="false">
      <c r="B15" s="28" t="str">
        <f aca="false">Categorias!$B$13</f>
        <v>Educación</v>
      </c>
      <c r="C15" s="29" t="n">
        <f aca="false">INDEX(Presupuesto!$B$13:$M$13,Configuracion!$C$14)*Configuracion!$C$12</f>
        <v>80</v>
      </c>
      <c r="D15" s="29" t="n">
        <f aca="false">INDEX(Real!$B$13:$M$13,Configuracion!$C$14)*Configuracion!$C$12</f>
        <v>0</v>
      </c>
      <c r="E15" s="29" t="n">
        <f aca="false">C15-D15</f>
        <v>80</v>
      </c>
      <c r="F15" s="30" t="n">
        <f aca="false">IF(C15=0,0,D15/C15)</f>
        <v>0</v>
      </c>
    </row>
    <row r="16" customFormat="false" ht="15" hidden="false" customHeight="false" outlineLevel="0" collapsed="false">
      <c r="B16" s="28" t="str">
        <f aca="false">Categorias!$B$14</f>
        <v>Entretenimiento</v>
      </c>
      <c r="C16" s="29" t="n">
        <f aca="false">INDEX(Presupuesto!$B$14:$M$14,Configuracion!$C$14)*Configuracion!$C$12</f>
        <v>60</v>
      </c>
      <c r="D16" s="29" t="n">
        <f aca="false">INDEX(Real!$B$14:$M$14,Configuracion!$C$14)*Configuracion!$C$12</f>
        <v>45</v>
      </c>
      <c r="E16" s="29" t="n">
        <f aca="false">C16-D16</f>
        <v>15</v>
      </c>
      <c r="F16" s="30" t="n">
        <f aca="false">IF(C16=0,0,D16/C16)</f>
        <v>0.75</v>
      </c>
    </row>
    <row r="17" customFormat="false" ht="15" hidden="false" customHeight="false" outlineLevel="0" collapsed="false">
      <c r="B17" s="28" t="str">
        <f aca="false">Categorias!$B$15</f>
        <v>Ropa y cuidado personal</v>
      </c>
      <c r="C17" s="29" t="n">
        <f aca="false">INDEX(Presupuesto!$B$15:$M$15,Configuracion!$C$14)*Configuracion!$C$12</f>
        <v>50</v>
      </c>
      <c r="D17" s="29" t="n">
        <f aca="false">INDEX(Real!$B$15:$M$15,Configuracion!$C$14)*Configuracion!$C$12</f>
        <v>0</v>
      </c>
      <c r="E17" s="29" t="n">
        <f aca="false">C17-D17</f>
        <v>50</v>
      </c>
      <c r="F17" s="30" t="n">
        <f aca="false">IF(C17=0,0,D17/C17)</f>
        <v>0</v>
      </c>
    </row>
    <row r="18" customFormat="false" ht="15" hidden="false" customHeight="false" outlineLevel="0" collapsed="false">
      <c r="B18" s="28" t="str">
        <f aca="false">Categorias!$B$16</f>
        <v>Ahorro e inversión</v>
      </c>
      <c r="C18" s="29" t="n">
        <f aca="false">INDEX(Presupuesto!$B$16:$M$16,Configuracion!$C$14)*Configuracion!$C$12</f>
        <v>300</v>
      </c>
      <c r="D18" s="29" t="n">
        <f aca="false">INDEX(Real!$B$16:$M$16,Configuracion!$C$14)*Configuracion!$C$12</f>
        <v>300</v>
      </c>
      <c r="E18" s="29" t="n">
        <f aca="false">C18-D18</f>
        <v>0</v>
      </c>
      <c r="F18" s="30" t="n">
        <f aca="false">IF(C18=0,0,D18/C18)</f>
        <v>1</v>
      </c>
    </row>
    <row r="19" customFormat="false" ht="15" hidden="false" customHeight="false" outlineLevel="0" collapsed="false">
      <c r="B19" s="28" t="str">
        <f aca="false">Categorias!$B$17</f>
        <v>Deudas y préstamos</v>
      </c>
      <c r="C19" s="29" t="n">
        <f aca="false">INDEX(Presupuesto!$B$17:$M$17,Configuracion!$C$14)*Configuracion!$C$12</f>
        <v>250</v>
      </c>
      <c r="D19" s="29" t="n">
        <f aca="false">INDEX(Real!$B$17:$M$17,Configuracion!$C$14)*Configuracion!$C$12</f>
        <v>0</v>
      </c>
      <c r="E19" s="29" t="n">
        <f aca="false">C19-D19</f>
        <v>250</v>
      </c>
      <c r="F19" s="30" t="n">
        <f aca="false">IF(C19=0,0,D19/C19)</f>
        <v>0</v>
      </c>
    </row>
    <row r="20" customFormat="false" ht="15" hidden="false" customHeight="false" outlineLevel="0" collapsed="false">
      <c r="B20" s="28" t="str">
        <f aca="false">Categorias!$B$18</f>
        <v>Otros gastos</v>
      </c>
      <c r="C20" s="29" t="n">
        <f aca="false">INDEX(Presupuesto!$B$18:$M$18,Configuracion!$C$14)*Configuracion!$C$12</f>
        <v>50</v>
      </c>
      <c r="D20" s="29" t="n">
        <f aca="false">INDEX(Real!$B$18:$M$18,Configuracion!$C$14)*Configuracion!$C$12</f>
        <v>0</v>
      </c>
      <c r="E20" s="29" t="n">
        <f aca="false">C20-D20</f>
        <v>50</v>
      </c>
      <c r="F20" s="30" t="n">
        <f aca="false">IF(C20=0,0,D20/C20)</f>
        <v>0</v>
      </c>
    </row>
    <row r="21" customFormat="false" ht="15" hidden="false" customHeight="false" outlineLevel="0" collapsed="false">
      <c r="B21" s="23" t="s">
        <v>102</v>
      </c>
      <c r="C21" s="31" t="n">
        <f aca="false">SUM(C7:C9)</f>
        <v>4800</v>
      </c>
      <c r="D21" s="31" t="n">
        <f aca="false">SUM(D7:D9)</f>
        <v>4850</v>
      </c>
      <c r="E21" s="31" t="n">
        <f aca="false">SUM(E7:E9)</f>
        <v>-50</v>
      </c>
      <c r="F21" s="32" t="n">
        <f aca="false">IF(C21=0,0,D21/C21)</f>
        <v>1.01041666666667</v>
      </c>
    </row>
    <row r="22" customFormat="false" ht="15" hidden="false" customHeight="false" outlineLevel="0" collapsed="false">
      <c r="B22" s="23" t="s">
        <v>103</v>
      </c>
      <c r="C22" s="31" t="n">
        <f aca="false">SUM(C10:C20)</f>
        <v>2430</v>
      </c>
      <c r="D22" s="31" t="n">
        <f aca="false">SUM(D10:D20)</f>
        <v>1950</v>
      </c>
      <c r="E22" s="31" t="n">
        <f aca="false">SUM(E10:E20)</f>
        <v>480</v>
      </c>
      <c r="F22" s="32" t="n">
        <f aca="false">IF(C22=0,0,D22/C22)</f>
        <v>0.802469135802469</v>
      </c>
    </row>
    <row r="23" customFormat="false" ht="15" hidden="false" customHeight="false" outlineLevel="0" collapsed="false">
      <c r="B23" s="23" t="s">
        <v>104</v>
      </c>
      <c r="C23" s="31" t="n">
        <f aca="false">C21-C22</f>
        <v>2370</v>
      </c>
      <c r="D23" s="31" t="n">
        <f aca="false">D21-D22</f>
        <v>2900</v>
      </c>
      <c r="E23" s="31" t="n">
        <f aca="false">E21-E22</f>
        <v>-530</v>
      </c>
      <c r="F23" s="33"/>
    </row>
    <row r="26" customFormat="false" ht="19.5" hidden="false" customHeight="true" outlineLevel="0" collapsed="false">
      <c r="B26" s="27" t="s">
        <v>105</v>
      </c>
      <c r="C26" s="27"/>
      <c r="D26" s="27"/>
      <c r="E26" s="27"/>
    </row>
    <row r="27" customFormat="false" ht="18" hidden="false" customHeight="true" outlineLevel="0" collapsed="false">
      <c r="B27" s="10" t="s">
        <v>106</v>
      </c>
      <c r="C27" s="10" t="s">
        <v>98</v>
      </c>
      <c r="D27" s="10" t="s">
        <v>99</v>
      </c>
      <c r="E27" s="10" t="s">
        <v>100</v>
      </c>
    </row>
    <row r="28" customFormat="false" ht="15" hidden="false" customHeight="false" outlineLevel="0" collapsed="false">
      <c r="B28" s="28" t="s">
        <v>52</v>
      </c>
      <c r="C28" s="29" t="n">
        <f aca="false">Presupuesto!B$19*Configuracion!$C$12</f>
        <v>7230</v>
      </c>
      <c r="D28" s="29" t="n">
        <f aca="false">Real!B$19*Configuracion!$C$12</f>
        <v>6800</v>
      </c>
      <c r="E28" s="29" t="n">
        <f aca="false">C28-D28</f>
        <v>430</v>
      </c>
    </row>
    <row r="29" customFormat="false" ht="15" hidden="false" customHeight="false" outlineLevel="0" collapsed="false">
      <c r="B29" s="28" t="s">
        <v>107</v>
      </c>
      <c r="C29" s="29" t="n">
        <f aca="false">Presupuesto!C$19*Configuracion!$C$12</f>
        <v>7230</v>
      </c>
      <c r="D29" s="29" t="n">
        <f aca="false">Real!C$19*Configuracion!$C$12</f>
        <v>6285</v>
      </c>
      <c r="E29" s="29" t="n">
        <f aca="false">C29-D29</f>
        <v>945</v>
      </c>
    </row>
    <row r="30" customFormat="false" ht="15" hidden="false" customHeight="false" outlineLevel="0" collapsed="false">
      <c r="B30" s="28" t="s">
        <v>108</v>
      </c>
      <c r="C30" s="29" t="n">
        <f aca="false">Presupuesto!D$19*Configuracion!$C$12</f>
        <v>7230</v>
      </c>
      <c r="D30" s="29" t="n">
        <f aca="false">Real!D$19*Configuracion!$C$12</f>
        <v>6245</v>
      </c>
      <c r="E30" s="29" t="n">
        <f aca="false">C30-D30</f>
        <v>985</v>
      </c>
    </row>
    <row r="31" customFormat="false" ht="15" hidden="false" customHeight="false" outlineLevel="0" collapsed="false">
      <c r="B31" s="28" t="s">
        <v>109</v>
      </c>
      <c r="C31" s="29" t="n">
        <f aca="false">Presupuesto!E$19*Configuracion!$C$12</f>
        <v>7230</v>
      </c>
      <c r="D31" s="29" t="n">
        <f aca="false">Real!E$19*Configuracion!$C$12</f>
        <v>0</v>
      </c>
      <c r="E31" s="29" t="n">
        <f aca="false">C31-D31</f>
        <v>7230</v>
      </c>
    </row>
    <row r="32" customFormat="false" ht="15" hidden="false" customHeight="false" outlineLevel="0" collapsed="false">
      <c r="B32" s="28" t="s">
        <v>110</v>
      </c>
      <c r="C32" s="29" t="n">
        <f aca="false">Presupuesto!F$19*Configuracion!$C$12</f>
        <v>7230</v>
      </c>
      <c r="D32" s="29" t="n">
        <f aca="false">Real!F$19*Configuracion!$C$12</f>
        <v>0</v>
      </c>
      <c r="E32" s="29" t="n">
        <f aca="false">C32-D32</f>
        <v>7230</v>
      </c>
    </row>
    <row r="33" customFormat="false" ht="15" hidden="false" customHeight="false" outlineLevel="0" collapsed="false">
      <c r="B33" s="28" t="s">
        <v>111</v>
      </c>
      <c r="C33" s="29" t="n">
        <f aca="false">Presupuesto!G$19*Configuracion!$C$12</f>
        <v>7230</v>
      </c>
      <c r="D33" s="29" t="n">
        <f aca="false">Real!G$19*Configuracion!$C$12</f>
        <v>0</v>
      </c>
      <c r="E33" s="29" t="n">
        <f aca="false">C33-D33</f>
        <v>7230</v>
      </c>
    </row>
    <row r="34" customFormat="false" ht="15" hidden="false" customHeight="false" outlineLevel="0" collapsed="false">
      <c r="B34" s="28" t="s">
        <v>112</v>
      </c>
      <c r="C34" s="29" t="n">
        <f aca="false">Presupuesto!H$19*Configuracion!$C$12</f>
        <v>7230</v>
      </c>
      <c r="D34" s="29" t="n">
        <f aca="false">Real!H$19*Configuracion!$C$12</f>
        <v>0</v>
      </c>
      <c r="E34" s="29" t="n">
        <f aca="false">C34-D34</f>
        <v>7230</v>
      </c>
    </row>
    <row r="35" customFormat="false" ht="15" hidden="false" customHeight="false" outlineLevel="0" collapsed="false">
      <c r="B35" s="28" t="s">
        <v>113</v>
      </c>
      <c r="C35" s="29" t="n">
        <f aca="false">Presupuesto!I$19*Configuracion!$C$12</f>
        <v>7230</v>
      </c>
      <c r="D35" s="29" t="n">
        <f aca="false">Real!I$19*Configuracion!$C$12</f>
        <v>0</v>
      </c>
      <c r="E35" s="29" t="n">
        <f aca="false">C35-D35</f>
        <v>7230</v>
      </c>
    </row>
    <row r="36" customFormat="false" ht="15" hidden="false" customHeight="false" outlineLevel="0" collapsed="false">
      <c r="B36" s="28" t="s">
        <v>114</v>
      </c>
      <c r="C36" s="29" t="n">
        <f aca="false">Presupuesto!J$19*Configuracion!$C$12</f>
        <v>7230</v>
      </c>
      <c r="D36" s="29" t="n">
        <f aca="false">Real!J$19*Configuracion!$C$12</f>
        <v>0</v>
      </c>
      <c r="E36" s="29" t="n">
        <f aca="false">C36-D36</f>
        <v>7230</v>
      </c>
    </row>
    <row r="37" customFormat="false" ht="15" hidden="false" customHeight="false" outlineLevel="0" collapsed="false">
      <c r="B37" s="28" t="s">
        <v>115</v>
      </c>
      <c r="C37" s="29" t="n">
        <f aca="false">Presupuesto!K$19*Configuracion!$C$12</f>
        <v>7230</v>
      </c>
      <c r="D37" s="29" t="n">
        <f aca="false">Real!K$19*Configuracion!$C$12</f>
        <v>0</v>
      </c>
      <c r="E37" s="29" t="n">
        <f aca="false">C37-D37</f>
        <v>7230</v>
      </c>
    </row>
    <row r="38" customFormat="false" ht="15" hidden="false" customHeight="false" outlineLevel="0" collapsed="false">
      <c r="B38" s="28" t="s">
        <v>116</v>
      </c>
      <c r="C38" s="29" t="n">
        <f aca="false">Presupuesto!L$19*Configuracion!$C$12</f>
        <v>7230</v>
      </c>
      <c r="D38" s="29" t="n">
        <f aca="false">Real!L$19*Configuracion!$C$12</f>
        <v>0</v>
      </c>
      <c r="E38" s="29" t="n">
        <f aca="false">C38-D38</f>
        <v>7230</v>
      </c>
    </row>
    <row r="39" customFormat="false" ht="15" hidden="false" customHeight="false" outlineLevel="0" collapsed="false">
      <c r="B39" s="28" t="s">
        <v>117</v>
      </c>
      <c r="C39" s="29" t="n">
        <f aca="false">Presupuesto!M$19*Configuracion!$C$12</f>
        <v>7230</v>
      </c>
      <c r="D39" s="29" t="n">
        <f aca="false">Real!M$19*Configuracion!$C$12</f>
        <v>0</v>
      </c>
      <c r="E39" s="29" t="n">
        <f aca="false">C39-D39</f>
        <v>7230</v>
      </c>
    </row>
  </sheetData>
  <sheetProtection sheet="true" formatCells="false" formatColumns="false" formatRows="false" insertRows="false" selectLockedCells="true" selectUnlockedCells="true"/>
  <mergeCells count="4">
    <mergeCell ref="B2:F2"/>
    <mergeCell ref="B3:F3"/>
    <mergeCell ref="B5:F5"/>
    <mergeCell ref="B26:E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118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Mes: " &amp; Configuracion!$C$10 &amp; "   |   Moneda: " &amp; Configuracion!$C$8 &amp; "   |   Año: " &amp; Configuracion!$C$9</f>
        <v> Mes: Enero   |   Moneda: Local   |   Año: 2026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4" t="s">
        <v>119</v>
      </c>
      <c r="C5" s="34"/>
      <c r="D5" s="35" t="s">
        <v>120</v>
      </c>
      <c r="E5" s="35"/>
      <c r="F5" s="36" t="s">
        <v>121</v>
      </c>
      <c r="G5" s="36"/>
      <c r="H5" s="37" t="s">
        <v>122</v>
      </c>
      <c r="I5" s="37"/>
    </row>
    <row r="6" customFormat="false" ht="21.75" hidden="false" customHeight="true" outlineLevel="0" collapsed="false">
      <c r="B6" s="38" t="str">
        <f aca="false">Configuracion!$C$13&amp;" "&amp;TEXT(Resumen!D21,"#,##0.00")</f>
        <v>S/ 4,850.00</v>
      </c>
      <c r="C6" s="38"/>
      <c r="D6" s="39" t="str">
        <f aca="false">Configuracion!$C$13&amp;" "&amp;TEXT(Resumen!C22,"#,##0.00")</f>
        <v>S/ 2,430.00</v>
      </c>
      <c r="E6" s="39"/>
      <c r="F6" s="40" t="str">
        <f aca="false">Configuracion!$C$13&amp;" "&amp;TEXT(Resumen!D22,"#,##0.00")</f>
        <v>S/ 1,950.00</v>
      </c>
      <c r="G6" s="40"/>
      <c r="H6" s="41" t="str">
        <f aca="false">IF(Resumen!C22=0,"0.0%",TEXT(Resumen!D22/Resumen!C22,"0.0%"))</f>
        <v>80.2%</v>
      </c>
      <c r="I6" s="41"/>
    </row>
    <row r="7" customFormat="false" ht="21.75" hidden="false" customHeight="true" outlineLevel="0" collapsed="false">
      <c r="B7" s="38"/>
      <c r="C7" s="38"/>
      <c r="D7" s="39"/>
      <c r="E7" s="39"/>
      <c r="F7" s="40"/>
      <c r="G7" s="40"/>
      <c r="H7" s="41"/>
      <c r="I7" s="41"/>
    </row>
  </sheetData>
  <sheetProtection sheet="true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2026-09-18T14:53:56Z</dcterms:created>
  <dc:creator>openpyxl</dc:creator>
  <dc:description/>
  <dc:language>en-US</dc:language>
  <cp:lastModifiedBy/>
  <dcterms:modified xsi:type="dcterms:W3CDTF">2026-09-18T14:54:17Z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