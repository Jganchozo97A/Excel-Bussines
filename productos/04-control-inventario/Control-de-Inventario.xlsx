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ortada" sheetId="1" state="visible" r:id="rId3"/>
    <sheet name="Instrucciones" sheetId="2" state="visible" r:id="rId4"/>
    <sheet name="Configuracion" sheetId="3" state="visible" r:id="rId5"/>
    <sheet name="Categorias" sheetId="4" state="visible" r:id="rId6"/>
    <sheet name="Productos" sheetId="5" state="visible" r:id="rId7"/>
    <sheet name="Movimientos" sheetId="6" state="visible" r:id="rId8"/>
    <sheet name="Resumen" sheetId="7" state="visible" r:id="rId9"/>
    <sheet name="Dashboard" sheetId="8" state="visible" r:id="rId10"/>
  </sheets>
  <definedNames>
    <definedName function="false" hidden="false" name="FactorConversion" vbProcedure="false">Configuracion!$C$10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<sst xmlns="http://schemas.openxmlformats.org/spreadsheetml/2006/main" count="187" uniqueCount="123">
  <si>
    <t xml:space="preserve">LÍNEA DE PRODUCTOS DIGITALES · PLANTILLAS EXCEL</t>
  </si>
  <si>
    <t xml:space="preserve">CONTROL DE INVENTARIO</t>
  </si>
  <si>
    <t xml:space="preserve">Registra tus productos, controla entradas y salidas de stock, y detecta a tiempo qué productos necesitas reponer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</si>
  <si>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</si>
  <si>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</si>
  <si>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</si>
  <si>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Gráficos: pastel (valor por categoría) y barras (stock por producto)</t>
  </si>
  <si>
    <t xml:space="preserve">✔  Resumen dinámico tipo tabla dinámica por producto</t>
  </si>
  <si>
    <t xml:space="preserve">✔  Alertas automáticas de stock bajo el mínimo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</si>
  <si>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</si>
  <si>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</si>
  <si>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</si>
  <si>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</si>
  <si>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 y ejemplos precargados</t>
  </si>
  <si>
    <t xml:space="preserve">Producto digital · Precio orientativo: $9.99 USD  |  Licencia de uso personal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</si>
  <si>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</si>
  <si>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</si>
  <si>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</si>
  <si>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Define el símbolo de tu moneda local, el tipo de cambio y si la plantilla se muestra en moneda LOCAL o USD.</t>
  </si>
  <si>
    <t xml:space="preserve">2. Categorías</t>
  </si>
  <si>
    <t xml:space="preserve">En la hoja 'Categorías' revisa o edita las categorías de producto y las unidades de medida que aparecen como listas desplegables.</t>
  </si>
  <si>
    <t xml:space="preserve">3. Productos</t>
  </si>
  <si>
    <t xml:space="preserve">En la hoja 'Productos' registra cada artículo: código, nombre, categoría, unidad, stock mínimo, costo unitario, precio de venta y stock inicial. Hay espacio para hasta 12 productos.</t>
  </si>
  <si>
    <t xml:space="preserve">4. Movimientos</t>
  </si>
  <si>
    <t xml:space="preserve">Cada vez que entre o salga mercadería, regístralo en 'Movimientos': fecha, producto (lista desplegable), tipo (Entrada/Salida), cantidad y referencia.</t>
  </si>
  <si>
    <t xml:space="preserve">5. Resumen automático</t>
  </si>
  <si>
    <t xml:space="preserve">La hoja 'Resumen' calcula el stock actual y el valor de inventario de cada producto, y marca en rojo los que están por debajo de su stock mínimo.</t>
  </si>
  <si>
    <t xml:space="preserve">6. Dashboard</t>
  </si>
  <si>
    <t xml:space="preserve">La hoja 'Dashboard' muestra tu valor total de inventario, unidades totales y productos con stock bajo, con gráficos que se actualizan solos.</t>
  </si>
  <si>
    <t xml:space="preserve">7. Cambiar de moneda</t>
  </si>
  <si>
    <t xml:space="preserve">Cambia 'Moneda de visualización' en 'Configuración' entre Local y USD: todo se recalcula automáticamente.</t>
  </si>
  <si>
    <t xml:space="preserve">8. Celdas protegidas</t>
  </si>
  <si>
    <t xml:space="preserve">Las hojas están protegidas para que no borres fórmulas por accidente. Solo puedes escribir en las celdas resaltadas en color crema / texto azul. Contraseña de desprotección: plantilla2026.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</si>
  <si>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</si>
  <si>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</si>
  <si>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</si>
  <si>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</si>
  <si>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</si>
  <si>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</si>
  <si>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</si>
  <si>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</si>
  <si>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</si>
  <si>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</si>
  <si>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</si>
  <si>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</si>
  <si>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</si>
  <si>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</si>
  <si>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</si>
  <si>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Resumen y Dashboard.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</si>
  <si>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</si>
  <si>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</si>
  <si>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</si>
  <si>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</si>
  <si>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</si>
  <si>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</si>
  <si>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CATEGORÍAS Y UNIDADES</t>
  </si>
  <si>
    <t xml:space="preserve">Categoría de producto</t>
  </si>
  <si>
    <t xml:space="preserve">Unidad de medida</t>
  </si>
  <si>
    <t xml:space="preserve">Electrónica</t>
  </si>
  <si>
    <t xml:space="preserve">Unidad</t>
  </si>
  <si>
    <t xml:space="preserve">Alimentos y bebidas</t>
  </si>
  <si>
    <t xml:space="preserve">Caja</t>
  </si>
  <si>
    <t xml:space="preserve">Ropa y calzado</t>
  </si>
  <si>
    <t xml:space="preserve">Kg</t>
  </si>
  <si>
    <t xml:space="preserve">Hogar y limpieza</t>
  </si>
  <si>
    <t xml:space="preserve">Litro</t>
  </si>
  <si>
    <t xml:space="preserve">Papelería y oficina</t>
  </si>
  <si>
    <t xml:space="preserve">Paquete</t>
  </si>
  <si>
    <t xml:space="preserve">Otros</t>
  </si>
  <si>
    <t xml:space="preserve">Docena</t>
  </si>
  <si>
    <t xml:space="preserve">Puedes renombrar o agregar categorías/unidades; las listas de 'Productos' se actualizan solas.</t>
  </si>
  <si>
    <t xml:space="preserve">CATÁLOGO DE PRODUCTOS</t>
  </si>
  <si>
    <t xml:space="preserve">Completa las columnas A a H para cada producto (hasta 12 productos).</t>
  </si>
  <si>
    <t xml:space="preserve">Código</t>
  </si>
  <si>
    <t xml:space="preserve">Nombre</t>
  </si>
  <si>
    <t xml:space="preserve">Categoría</t>
  </si>
  <si>
    <t xml:space="preserve">Stock mínimo</t>
  </si>
  <si>
    <t xml:space="preserve">Costo unitario</t>
  </si>
  <si>
    <t xml:space="preserve">Precio de venta</t>
  </si>
  <si>
    <t xml:space="preserve">Stock inicial</t>
  </si>
  <si>
    <t xml:space="preserve">ELE-001</t>
  </si>
  <si>
    <t xml:space="preserve">Audífonos Bluetooth</t>
  </si>
  <si>
    <t xml:space="preserve">ELE-002</t>
  </si>
  <si>
    <t xml:space="preserve">Cargador USB-C</t>
  </si>
  <si>
    <t xml:space="preserve">ALI-001</t>
  </si>
  <si>
    <t xml:space="preserve">Café molido 500g</t>
  </si>
  <si>
    <t xml:space="preserve">ALI-002</t>
  </si>
  <si>
    <t xml:space="preserve">Aceite vegetal 1L</t>
  </si>
  <si>
    <t xml:space="preserve">ROP-001</t>
  </si>
  <si>
    <t xml:space="preserve">Camiseta básica</t>
  </si>
  <si>
    <t xml:space="preserve">ROP-002</t>
  </si>
  <si>
    <t xml:space="preserve">Zapatillas urbanas</t>
  </si>
  <si>
    <t xml:space="preserve">HOG-001</t>
  </si>
  <si>
    <t xml:space="preserve">Detergente 1L</t>
  </si>
  <si>
    <t xml:space="preserve">PAP-001</t>
  </si>
  <si>
    <t xml:space="preserve">Cuaderno A4</t>
  </si>
  <si>
    <t xml:space="preserve">MOVIMIENTOS DE INVENTARIO</t>
  </si>
  <si>
    <t xml:space="preserve">Completa las columnas A a E para cada movimiento (entrada o salida de stock).</t>
  </si>
  <si>
    <t xml:space="preserve">Fecha</t>
  </si>
  <si>
    <t xml:space="preserve">Código producto</t>
  </si>
  <si>
    <t xml:space="preserve">Producto</t>
  </si>
  <si>
    <t xml:space="preserve">Tipo</t>
  </si>
  <si>
    <t xml:space="preserve">Cantidad</t>
  </si>
  <si>
    <t xml:space="preserve">Referencia / Motivo</t>
  </si>
  <si>
    <t xml:space="preserve">Entrada</t>
  </si>
  <si>
    <t xml:space="preserve">Compra a proveedor</t>
  </si>
  <si>
    <t xml:space="preserve">Salida</t>
  </si>
  <si>
    <t xml:space="preserve">Venta mostrador</t>
  </si>
  <si>
    <t xml:space="preserve">Venta online</t>
  </si>
  <si>
    <t xml:space="preserve">Venta de liquidación</t>
  </si>
  <si>
    <t xml:space="preserve">RESUMEN DINÁMICO (se actualiza solo)</t>
  </si>
  <si>
    <t xml:space="preserve">Entradas</t>
  </si>
  <si>
    <t xml:space="preserve">Salidas</t>
  </si>
  <si>
    <t xml:space="preserve">Stock actual</t>
  </si>
  <si>
    <t xml:space="preserve">Valor inventario</t>
  </si>
  <si>
    <t xml:space="preserve">Estado</t>
  </si>
  <si>
    <t xml:space="preserve">TOTAL</t>
  </si>
  <si>
    <t xml:space="preserve">VALOR DE INVENTARIO POR CATEGORÍA</t>
  </si>
  <si>
    <t xml:space="preserve">DASHBOARD · CONTROL DE INVENTARIO</t>
  </si>
  <si>
    <t xml:space="preserve">PRODUCTOS REGISTRADOS</t>
  </si>
  <si>
    <t xml:space="preserve">VALOR TOTAL INVENTARIO</t>
  </si>
  <si>
    <t xml:space="preserve">UNIDADES EN STOCK</t>
  </si>
  <si>
    <t xml:space="preserve">PRODUCTOS BAJO STOCK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</si>
</sst>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"/>
    <numFmt numFmtId="167" formatCode="#,##0.00"/>
    <numFmt numFmtId="168" formatCode="dd/mm/yyyy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2CA58D"/>
        <bgColor rgb="FF4BACC6"/>
      </patternFill>
    </fill>
    <fill>
      <patternFill patternType="solid">
        <fgColor rgb="FFC9A24B"/>
        <bgColor rgb="FFF79646"/>
      </patternFill>
    </fill>
    <fill>
      <patternFill patternType="solid">
        <fgColor rgb="FFB23B3B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23B3B"/>
      <rgbColor rgb="FFFFF6D9"/>
      <rgbColor rgb="FFF2F4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C9A24B"/>
      <rgbColor rgb="FF003366"/>
      <rgbColor rgb="FF2CA58D"/>
      <rgbColor rgb="FF003300"/>
      <rgbColor rgb="FF1A1A1A"/>
      <rgbColor rgb="FF993300"/>
      <rgbColor rgb="FFC0504D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de inventario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Resumen!C22</c:f>
              <c:strCache>
                <c:ptCount val="1"/>
                <c:pt idx="0">
                  <c:v>Valor inventario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Resumen!$B$23:$B$28</c:f>
              <c:strCache>
                <c:ptCount val="6"/>
                <c:pt idx="0">
                  <c:v>Electrónica</c:v>
                </c:pt>
                <c:pt idx="1">
                  <c:v>Alimentos y bebidas</c:v>
                </c:pt>
                <c:pt idx="2">
                  <c:v>Ropa y calzado</c:v>
                </c:pt>
                <c:pt idx="3">
                  <c:v>Hogar y limpieza</c:v>
                </c:pt>
                <c:pt idx="4">
                  <c:v>Papelería y oficina</c:v>
                </c:pt>
                <c:pt idx="5">
                  <c:v>Otros</c:v>
                </c:pt>
              </c:strCache>
            </c:strRef>
          </c:cat>
          <c:val>
            <c:numRef>
              <c:f>Resumen!$C$23:$C$28</c:f>
              <c:numCache>
                <c:formatCode>#,##0.00</c:formatCode>
                <c:ptCount val="6"/>
                <c:pt idx="0">
                  <c:v>1275</c:v>
                </c:pt>
                <c:pt idx="1">
                  <c:v>974</c:v>
                </c:pt>
                <c:pt idx="2">
                  <c:v>310</c:v>
                </c:pt>
                <c:pt idx="3">
                  <c:v>168</c:v>
                </c:pt>
                <c:pt idx="4">
                  <c:v>140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actual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Resumen!G5</c:f>
              <c:strCache>
                <c:ptCount val="1"/>
                <c:pt idx="0">
                  <c:v>Stock actual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Resumen!$B$6:$B$17</c:f>
              <c:strCache>
                <c:ptCount val="12"/>
                <c:pt idx="0">
                  <c:v>Audífonos Bluetooth</c:v>
                </c:pt>
                <c:pt idx="1">
                  <c:v>Cargador USB-C</c:v>
                </c:pt>
                <c:pt idx="2">
                  <c:v>Café molido 500g</c:v>
                </c:pt>
                <c:pt idx="3">
                  <c:v>Aceite vegetal 1L</c:v>
                </c:pt>
                <c:pt idx="4">
                  <c:v>Camiseta básica</c:v>
                </c:pt>
                <c:pt idx="5">
                  <c:v>Zapatillas urbanas</c:v>
                </c:pt>
                <c:pt idx="6">
                  <c:v>Detergente 1L</c:v>
                </c:pt>
                <c:pt idx="7">
                  <c:v>Cuaderno A4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Resumen!$G$6:$G$17</c:f>
              <c:numCache>
                <c:formatCode>#,##0.00</c:formatCode>
                <c:ptCount val="12"/>
                <c:pt idx="0">
                  <c:v>47</c:v>
                </c:pt>
                <c:pt idx="1">
                  <c:v>95</c:v>
                </c:pt>
                <c:pt idx="2">
                  <c:v>108</c:v>
                </c:pt>
                <c:pt idx="3">
                  <c:v>22</c:v>
                </c:pt>
                <c:pt idx="4">
                  <c:v>20</c:v>
                </c:pt>
                <c:pt idx="5">
                  <c:v>2</c:v>
                </c:pt>
                <c:pt idx="6">
                  <c:v>42</c:v>
                </c:pt>
                <c:pt idx="7">
                  <c:v>70</c:v>
                </c:pt>
              </c:numCache>
            </c:numRef>
          </c:val>
        </c:ser>
        <c:gapWidth val="150"/>
        <c:overlap val="0"/>
        <c:axId val="52067364"/>
        <c:axId val="97861773"/>
      </c:barChart>
      <c:catAx>
        <c:axId val="52067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61773"/>
        <c:crosses val="autoZero"/>
        <c:auto val="1"/>
        <c:lblAlgn val="ctr"/>
        <c:lblOffset val="100"/>
        <c:noMultiLvlLbl val="0"/>
      </c:catAx>
      <c:valAx>
        <c:axId val="97861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673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de inventario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Resumen!H5</c:f>
              <c:strCache>
                <c:ptCount val="1"/>
                <c:pt idx="0">
                  <c:v>Valor inventario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Resumen!$B$6:$B$17</c:f>
              <c:strCache>
                <c:ptCount val="12"/>
                <c:pt idx="0">
                  <c:v>Audífonos Bluetooth</c:v>
                </c:pt>
                <c:pt idx="1">
                  <c:v>Cargador USB-C</c:v>
                </c:pt>
                <c:pt idx="2">
                  <c:v>Café molido 500g</c:v>
                </c:pt>
                <c:pt idx="3">
                  <c:v>Aceite vegetal 1L</c:v>
                </c:pt>
                <c:pt idx="4">
                  <c:v>Camiseta básica</c:v>
                </c:pt>
                <c:pt idx="5">
                  <c:v>Zapatillas urbanas</c:v>
                </c:pt>
                <c:pt idx="6">
                  <c:v>Detergente 1L</c:v>
                </c:pt>
                <c:pt idx="7">
                  <c:v>Cuaderno A4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Resumen!$H$6:$H$17</c:f>
              <c:numCache>
                <c:formatCode>General</c:formatCode>
                <c:ptCount val="12"/>
                <c:pt idx="0">
                  <c:v>705</c:v>
                </c:pt>
                <c:pt idx="1">
                  <c:v>570</c:v>
                </c:pt>
                <c:pt idx="2">
                  <c:v>864</c:v>
                </c:pt>
                <c:pt idx="3">
                  <c:v>110</c:v>
                </c:pt>
                <c:pt idx="4">
                  <c:v>240</c:v>
                </c:pt>
                <c:pt idx="5">
                  <c:v>70</c:v>
                </c:pt>
                <c:pt idx="6">
                  <c:v>168</c:v>
                </c:pt>
                <c:pt idx="7">
                  <c:v>140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8853571"/>
        <c:axId val="11460317"/>
      </c:barChart>
      <c:catAx>
        <c:axId val="88853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60317"/>
        <c:crosses val="autoZero"/>
        <c:auto val="1"/>
        <c:lblAlgn val="ctr"/>
        <c:lblOffset val="100"/>
        <c:noMultiLvlLbl val="0"/>
      </c:catAx>
      <c:valAx>
        <c:axId val="11460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53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password="ee36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8" hidden="false" customHeight="true" outlineLevel="0" collapsed="false">
      <c r="B25" s="4" t="s">
        <v>31</v>
      </c>
      <c r="C25" s="4"/>
    </row>
    <row r="26" customFormat="false" ht="42" hidden="false" customHeight="true" outlineLevel="0" collapsed="false">
      <c r="B26" s="9" t="s">
        <v>32</v>
      </c>
      <c r="C26" s="9"/>
    </row>
    <row r="28" customFormat="false" ht="15" hidden="false" customHeight="false" outlineLevel="0" collapsed="false">
      <c r="B28" s="7" t="s">
        <v>33</v>
      </c>
      <c r="C28" s="7"/>
    </row>
  </sheetData>
  <sheetProtection sheet="true" password="ee36" formatCells="false" formatColumns="false" formatRows="false" insertRows="false" selectLockedCells="true" selectUnlockedCells="true"/>
  <mergeCells count="18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34</v>
      </c>
      <c r="C2" s="8"/>
      <c r="D2" s="8"/>
    </row>
    <row r="4" customFormat="false" ht="21.75" hidden="false" customHeight="true" outlineLevel="0" collapsed="false">
      <c r="B4" s="10" t="s">
        <v>35</v>
      </c>
      <c r="C4" s="10" t="s">
        <v>36</v>
      </c>
      <c r="D4" s="10" t="s">
        <v>37</v>
      </c>
    </row>
    <row r="5" customFormat="false" ht="18" hidden="false" customHeight="true" outlineLevel="0" collapsed="false">
      <c r="B5" s="11" t="s">
        <v>38</v>
      </c>
      <c r="C5" s="12" t="s">
        <v>39</v>
      </c>
      <c r="D5" s="13" t="s">
        <v>40</v>
      </c>
    </row>
    <row r="6" customFormat="false" ht="18" hidden="false" customHeight="true" outlineLevel="0" collapsed="false">
      <c r="B6" s="11" t="s">
        <v>41</v>
      </c>
      <c r="C6" s="12" t="s">
        <v>42</v>
      </c>
      <c r="D6" s="13" t="s">
        <v>43</v>
      </c>
    </row>
    <row r="7" customFormat="false" ht="18" hidden="false" customHeight="true" outlineLevel="0" collapsed="false">
      <c r="B7" s="11" t="s">
        <v>44</v>
      </c>
      <c r="C7" s="12" t="n">
        <v>3.75</v>
      </c>
      <c r="D7" s="13" t="s">
        <v>45</v>
      </c>
    </row>
    <row r="8" customFormat="false" ht="18" hidden="false" customHeight="true" outlineLevel="0" collapsed="false">
      <c r="B8" s="11" t="s">
        <v>46</v>
      </c>
      <c r="C8" s="12" t="s">
        <v>47</v>
      </c>
      <c r="D8" s="13" t="s">
        <v>48</v>
      </c>
    </row>
    <row r="9" customFormat="false" ht="18" hidden="false" customHeight="true" outlineLevel="0" collapsed="false">
      <c r="B9" s="14" t="s">
        <v>49</v>
      </c>
      <c r="C9" s="15"/>
      <c r="D9" s="15"/>
    </row>
    <row r="10" customFormat="false" ht="18" hidden="false" customHeight="true" outlineLevel="0" collapsed="false">
      <c r="B10" s="16" t="s">
        <v>50</v>
      </c>
      <c r="C10" s="17" t="n">
        <f aca="false">IF(C8="USD",1/C7,1)</f>
        <v>1</v>
      </c>
      <c r="D10" s="18" t="s">
        <v>51</v>
      </c>
    </row>
    <row r="11" customFormat="false" ht="18" hidden="false" customHeight="true" outlineLevel="0" collapsed="false">
      <c r="B11" s="16" t="s">
        <v>52</v>
      </c>
      <c r="C11" s="19" t="str">
        <f aca="false">IF(C8="USD","US$",C6)</f>
        <v>S/</v>
      </c>
      <c r="D11" s="18" t="s">
        <v>53</v>
      </c>
    </row>
    <row r="13" customFormat="false" ht="15" hidden="false" customHeight="true" outlineLevel="0" collapsed="false">
      <c r="B13" s="20" t="s">
        <v>54</v>
      </c>
      <c r="C13" s="20"/>
      <c r="D13" s="20"/>
    </row>
  </sheetData>
  <sheetProtection sheet="true" password="ee36" formatCells="false" formatColumns="false" formatRows="false" insertRows="false" selectLockedCells="true" selectUnlockedCells="true"/>
  <mergeCells count="2">
    <mergeCell ref="B2:D2"/>
    <mergeCell ref="B13:D13"/>
  </mergeCells>
  <dataValidations count="1">
    <dataValidation allowBlank="false" errorStyle="stop" operator="between" showDropDown="false" showErrorMessage="false" showInputMessage="false" sqref="C8" type="list">
      <formula1>"Local,USD"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55</v>
      </c>
      <c r="C2" s="8"/>
    </row>
    <row r="4" customFormat="false" ht="21.75" hidden="false" customHeight="true" outlineLevel="0" collapsed="false">
      <c r="B4" s="10" t="s">
        <v>56</v>
      </c>
      <c r="C4" s="10" t="s">
        <v>57</v>
      </c>
    </row>
    <row r="5" customFormat="false" ht="15" hidden="false" customHeight="false" outlineLevel="0" collapsed="false">
      <c r="B5" s="21" t="s">
        <v>58</v>
      </c>
      <c r="C5" s="21" t="s">
        <v>59</v>
      </c>
    </row>
    <row r="6" customFormat="false" ht="15" hidden="false" customHeight="false" outlineLevel="0" collapsed="false">
      <c r="B6" s="21" t="s">
        <v>60</v>
      </c>
      <c r="C6" s="21" t="s">
        <v>61</v>
      </c>
    </row>
    <row r="7" customFormat="false" ht="15" hidden="false" customHeight="false" outlineLevel="0" collapsed="false">
      <c r="B7" s="21" t="s">
        <v>62</v>
      </c>
      <c r="C7" s="21" t="s">
        <v>63</v>
      </c>
    </row>
    <row r="8" customFormat="false" ht="15" hidden="false" customHeight="false" outlineLevel="0" collapsed="false">
      <c r="B8" s="21" t="s">
        <v>64</v>
      </c>
      <c r="C8" s="21" t="s">
        <v>65</v>
      </c>
    </row>
    <row r="9" customFormat="false" ht="15" hidden="false" customHeight="false" outlineLevel="0" collapsed="false">
      <c r="B9" s="21" t="s">
        <v>66</v>
      </c>
      <c r="C9" s="21" t="s">
        <v>67</v>
      </c>
    </row>
    <row r="10" customFormat="false" ht="15" hidden="false" customHeight="false" outlineLevel="0" collapsed="false">
      <c r="B10" s="21" t="s">
        <v>68</v>
      </c>
      <c r="C10" s="21" t="s">
        <v>69</v>
      </c>
    </row>
    <row r="11" customFormat="false" ht="15" hidden="false" customHeight="false" outlineLevel="0" collapsed="false">
      <c r="B11" s="22"/>
      <c r="C11" s="22"/>
    </row>
    <row r="12" customFormat="false" ht="22.35" hidden="false" customHeight="true" outlineLevel="0" collapsed="false">
      <c r="B12" s="23" t="s">
        <v>70</v>
      </c>
      <c r="C12" s="23"/>
    </row>
    <row r="13" customFormat="false" ht="15" hidden="false" customHeight="false" outlineLevel="0" collapsed="false">
      <c r="B13" s="22"/>
      <c r="C13" s="22"/>
    </row>
    <row r="14" customFormat="false" ht="15" hidden="false" customHeight="false" outlineLevel="0" collapsed="false">
      <c r="B14" s="22"/>
      <c r="C14" s="22"/>
    </row>
    <row r="15" customFormat="false" ht="15" hidden="false" customHeight="false" outlineLevel="0" collapsed="false">
      <c r="B15" s="22"/>
      <c r="C15" s="22"/>
    </row>
    <row r="16" customFormat="false" ht="15" hidden="false" customHeight="false" outlineLevel="0" collapsed="false">
      <c r="B16" s="22"/>
      <c r="C16" s="22"/>
    </row>
  </sheetData>
  <sheetProtection sheet="true" password="ee36" formatCells="false" formatColumns="false" formatRows="false" insertRows="false" selectLockedCells="true" selectUnlockedCells="true"/>
  <mergeCells count="2">
    <mergeCell ref="B2:C2"/>
    <mergeCell ref="B12:C1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2"/>
  </cols>
  <sheetData>
    <row r="2" customFormat="false" ht="25.5" hidden="false" customHeight="true" outlineLevel="0" collapsed="false">
      <c r="A2" s="8" t="s">
        <v>71</v>
      </c>
      <c r="B2" s="8"/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A3" s="7" t="s">
        <v>72</v>
      </c>
      <c r="B3" s="7"/>
      <c r="C3" s="7"/>
      <c r="D3" s="7"/>
      <c r="E3" s="7"/>
      <c r="F3" s="7"/>
      <c r="G3" s="7"/>
      <c r="H3" s="7"/>
    </row>
    <row r="4" customFormat="false" ht="27.75" hidden="false" customHeight="true" outlineLevel="0" collapsed="false">
      <c r="A4" s="10" t="s">
        <v>73</v>
      </c>
      <c r="B4" s="10" t="s">
        <v>74</v>
      </c>
      <c r="C4" s="10" t="s">
        <v>75</v>
      </c>
      <c r="D4" s="10" t="s">
        <v>59</v>
      </c>
      <c r="E4" s="10" t="s">
        <v>76</v>
      </c>
      <c r="F4" s="10" t="s">
        <v>77</v>
      </c>
      <c r="G4" s="10" t="s">
        <v>78</v>
      </c>
      <c r="H4" s="10" t="s">
        <v>79</v>
      </c>
    </row>
    <row r="5" customFormat="false" ht="15" hidden="false" customHeight="false" outlineLevel="0" collapsed="false">
      <c r="A5" s="24" t="s">
        <v>80</v>
      </c>
      <c r="B5" s="24" t="s">
        <v>81</v>
      </c>
      <c r="C5" s="24" t="s">
        <v>58</v>
      </c>
      <c r="D5" s="24" t="s">
        <v>59</v>
      </c>
      <c r="E5" s="25" t="n">
        <v>10</v>
      </c>
      <c r="F5" s="26" t="n">
        <v>15</v>
      </c>
      <c r="G5" s="26" t="n">
        <v>29.9</v>
      </c>
      <c r="H5" s="25" t="n">
        <v>40</v>
      </c>
    </row>
    <row r="6" customFormat="false" ht="15" hidden="false" customHeight="false" outlineLevel="0" collapsed="false">
      <c r="A6" s="24" t="s">
        <v>82</v>
      </c>
      <c r="B6" s="24" t="s">
        <v>83</v>
      </c>
      <c r="C6" s="24" t="s">
        <v>58</v>
      </c>
      <c r="D6" s="24" t="s">
        <v>59</v>
      </c>
      <c r="E6" s="25" t="n">
        <v>15</v>
      </c>
      <c r="F6" s="26" t="n">
        <v>6</v>
      </c>
      <c r="G6" s="26" t="n">
        <v>14.9</v>
      </c>
      <c r="H6" s="25" t="n">
        <v>60</v>
      </c>
    </row>
    <row r="7" customFormat="false" ht="15" hidden="false" customHeight="false" outlineLevel="0" collapsed="false">
      <c r="A7" s="24" t="s">
        <v>84</v>
      </c>
      <c r="B7" s="24" t="s">
        <v>85</v>
      </c>
      <c r="C7" s="24" t="s">
        <v>60</v>
      </c>
      <c r="D7" s="24" t="s">
        <v>67</v>
      </c>
      <c r="E7" s="25" t="n">
        <v>20</v>
      </c>
      <c r="F7" s="26" t="n">
        <v>8</v>
      </c>
      <c r="G7" s="26" t="n">
        <v>15.9</v>
      </c>
      <c r="H7" s="25" t="n">
        <v>80</v>
      </c>
    </row>
    <row r="8" customFormat="false" ht="15" hidden="false" customHeight="false" outlineLevel="0" collapsed="false">
      <c r="A8" s="24" t="s">
        <v>86</v>
      </c>
      <c r="B8" s="24" t="s">
        <v>87</v>
      </c>
      <c r="C8" s="24" t="s">
        <v>60</v>
      </c>
      <c r="D8" s="24" t="s">
        <v>65</v>
      </c>
      <c r="E8" s="25" t="n">
        <v>15</v>
      </c>
      <c r="F8" s="26" t="n">
        <v>5</v>
      </c>
      <c r="G8" s="26" t="n">
        <v>9.9</v>
      </c>
      <c r="H8" s="25" t="n">
        <v>12</v>
      </c>
    </row>
    <row r="9" customFormat="false" ht="15" hidden="false" customHeight="false" outlineLevel="0" collapsed="false">
      <c r="A9" s="24" t="s">
        <v>88</v>
      </c>
      <c r="B9" s="24" t="s">
        <v>89</v>
      </c>
      <c r="C9" s="24" t="s">
        <v>62</v>
      </c>
      <c r="D9" s="24" t="s">
        <v>59</v>
      </c>
      <c r="E9" s="25" t="n">
        <v>10</v>
      </c>
      <c r="F9" s="26" t="n">
        <v>12</v>
      </c>
      <c r="G9" s="26" t="n">
        <v>24.9</v>
      </c>
      <c r="H9" s="25" t="n">
        <v>25</v>
      </c>
    </row>
    <row r="10" customFormat="false" ht="15" hidden="false" customHeight="false" outlineLevel="0" collapsed="false">
      <c r="A10" s="24" t="s">
        <v>90</v>
      </c>
      <c r="B10" s="24" t="s">
        <v>91</v>
      </c>
      <c r="C10" s="24" t="s">
        <v>62</v>
      </c>
      <c r="D10" s="24" t="s">
        <v>59</v>
      </c>
      <c r="E10" s="25" t="n">
        <v>5</v>
      </c>
      <c r="F10" s="26" t="n">
        <v>35</v>
      </c>
      <c r="G10" s="26" t="n">
        <v>69.9</v>
      </c>
      <c r="H10" s="25" t="n">
        <v>8</v>
      </c>
    </row>
    <row r="11" customFormat="false" ht="15" hidden="false" customHeight="false" outlineLevel="0" collapsed="false">
      <c r="A11" s="24" t="s">
        <v>92</v>
      </c>
      <c r="B11" s="24" t="s">
        <v>93</v>
      </c>
      <c r="C11" s="24" t="s">
        <v>64</v>
      </c>
      <c r="D11" s="24" t="s">
        <v>65</v>
      </c>
      <c r="E11" s="25" t="n">
        <v>12</v>
      </c>
      <c r="F11" s="26" t="n">
        <v>4</v>
      </c>
      <c r="G11" s="26" t="n">
        <v>8.9</v>
      </c>
      <c r="H11" s="25" t="n">
        <v>30</v>
      </c>
    </row>
    <row r="12" customFormat="false" ht="15" hidden="false" customHeight="false" outlineLevel="0" collapsed="false">
      <c r="A12" s="24" t="s">
        <v>94</v>
      </c>
      <c r="B12" s="24" t="s">
        <v>95</v>
      </c>
      <c r="C12" s="24" t="s">
        <v>66</v>
      </c>
      <c r="D12" s="24" t="s">
        <v>59</v>
      </c>
      <c r="E12" s="25" t="n">
        <v>20</v>
      </c>
      <c r="F12" s="26" t="n">
        <v>2</v>
      </c>
      <c r="G12" s="26" t="n">
        <v>4.9</v>
      </c>
      <c r="H12" s="25" t="n">
        <v>50</v>
      </c>
    </row>
    <row r="13" customFormat="false" ht="15" hidden="false" customHeight="false" outlineLevel="0" collapsed="false">
      <c r="A13" s="24"/>
      <c r="B13" s="24"/>
      <c r="C13" s="24"/>
      <c r="D13" s="24"/>
      <c r="E13" s="25"/>
      <c r="F13" s="26"/>
      <c r="G13" s="26"/>
      <c r="H13" s="25"/>
    </row>
    <row r="14" customFormat="false" ht="15" hidden="false" customHeight="false" outlineLevel="0" collapsed="false">
      <c r="A14" s="24"/>
      <c r="B14" s="24"/>
      <c r="C14" s="24"/>
      <c r="D14" s="24"/>
      <c r="E14" s="25"/>
      <c r="F14" s="26"/>
      <c r="G14" s="26"/>
      <c r="H14" s="25"/>
    </row>
    <row r="15" customFormat="false" ht="15" hidden="false" customHeight="false" outlineLevel="0" collapsed="false">
      <c r="A15" s="24"/>
      <c r="B15" s="24"/>
      <c r="C15" s="24"/>
      <c r="D15" s="24"/>
      <c r="E15" s="25"/>
      <c r="F15" s="26"/>
      <c r="G15" s="26"/>
      <c r="H15" s="25"/>
    </row>
    <row r="16" customFormat="false" ht="15" hidden="false" customHeight="false" outlineLevel="0" collapsed="false">
      <c r="A16" s="24"/>
      <c r="B16" s="24"/>
      <c r="C16" s="24"/>
      <c r="D16" s="24"/>
      <c r="E16" s="25"/>
      <c r="F16" s="26"/>
      <c r="G16" s="26"/>
      <c r="H16" s="25"/>
    </row>
  </sheetData>
  <sheetProtection sheet="true" password="ee36" formatCells="false" formatColumns="false" formatRows="false" insertRows="false" selectLockedCells="true" selectUnlockedCells="true"/>
  <mergeCells count="2">
    <mergeCell ref="A2:H2"/>
    <mergeCell ref="A3:H3"/>
  </mergeCells>
  <dataValidations count="3">
    <dataValidation allowBlank="true" errorStyle="stop" operator="between" showDropDown="false" showErrorMessage="false" showInputMessage="false" sqref="C5:C16" type="list">
      <formula1>Categorias!$B$5:$B$10</formula1>
      <formula2>0</formula2>
    </dataValidation>
    <dataValidation allowBlank="true" errorStyle="stop" operator="between" showDropDown="false" showErrorMessage="false" showInputMessage="false" sqref="D5:D16" type="list">
      <formula1>Categorias!$C$5:$C$10</formula1>
      <formula2>0</formula2>
    </dataValidation>
    <dataValidation allowBlank="true" error="Ingresa un número igual o mayor a 0." errorStyle="stop" errorTitle="Valor inválido" operator="greaterThanOrEqual" showDropDown="false" showErrorMessage="true" showInputMessage="false" sqref="E5:H16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</cols>
  <sheetData>
    <row r="2" customFormat="false" ht="25.5" hidden="false" customHeight="true" outlineLevel="0" collapsed="false">
      <c r="A2" s="8" t="s">
        <v>96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7" t="s">
        <v>97</v>
      </c>
      <c r="B3" s="7"/>
      <c r="C3" s="7"/>
      <c r="D3" s="7"/>
      <c r="E3" s="7"/>
      <c r="F3" s="7"/>
    </row>
    <row r="4" customFormat="false" ht="21.75" hidden="false" customHeight="true" outlineLevel="0" collapsed="false">
      <c r="A4" s="10" t="s">
        <v>98</v>
      </c>
      <c r="B4" s="10" t="s">
        <v>99</v>
      </c>
      <c r="C4" s="10" t="s">
        <v>100</v>
      </c>
      <c r="D4" s="10" t="s">
        <v>101</v>
      </c>
      <c r="E4" s="10" t="s">
        <v>102</v>
      </c>
      <c r="F4" s="10" t="s">
        <v>103</v>
      </c>
    </row>
    <row r="5" customFormat="false" ht="15" hidden="false" customHeight="false" outlineLevel="0" collapsed="false">
      <c r="A5" s="27" t="n">
        <v>46025</v>
      </c>
      <c r="B5" s="24" t="s">
        <v>80</v>
      </c>
      <c r="C5" s="28" t="str">
        <f aca="false">IF(B5="","",IFERROR(INDEX(Productos!$B$5:$B$16,MATCH(B5,Productos!$A$5:$A$16,0)),"Código no encontrado"))</f>
        <v>Audífonos Bluetooth</v>
      </c>
      <c r="D5" s="24" t="s">
        <v>104</v>
      </c>
      <c r="E5" s="25" t="n">
        <v>20</v>
      </c>
      <c r="F5" s="24" t="s">
        <v>105</v>
      </c>
    </row>
    <row r="6" customFormat="false" ht="15" hidden="false" customHeight="false" outlineLevel="0" collapsed="false">
      <c r="A6" s="27" t="n">
        <v>46028</v>
      </c>
      <c r="B6" s="24" t="s">
        <v>80</v>
      </c>
      <c r="C6" s="28" t="str">
        <f aca="false">IF(B6="","",IFERROR(INDEX(Productos!$B$5:$B$16,MATCH(B6,Productos!$A$5:$A$16,0)),"Código no encontrado"))</f>
        <v>Audífonos Bluetooth</v>
      </c>
      <c r="D6" s="24" t="s">
        <v>106</v>
      </c>
      <c r="E6" s="25" t="n">
        <v>5</v>
      </c>
      <c r="F6" s="24" t="s">
        <v>107</v>
      </c>
    </row>
    <row r="7" customFormat="false" ht="15" hidden="false" customHeight="false" outlineLevel="0" collapsed="false">
      <c r="A7" s="27" t="n">
        <v>46030</v>
      </c>
      <c r="B7" s="24" t="s">
        <v>84</v>
      </c>
      <c r="C7" s="28" t="str">
        <f aca="false">IF(B7="","",IFERROR(INDEX(Productos!$B$5:$B$16,MATCH(B7,Productos!$A$5:$A$16,0)),"Código no encontrado"))</f>
        <v>Café molido 500g</v>
      </c>
      <c r="D7" s="24" t="s">
        <v>104</v>
      </c>
      <c r="E7" s="25" t="n">
        <v>40</v>
      </c>
      <c r="F7" s="24" t="s">
        <v>105</v>
      </c>
    </row>
    <row r="8" customFormat="false" ht="15" hidden="false" customHeight="false" outlineLevel="0" collapsed="false">
      <c r="A8" s="27" t="n">
        <v>46032</v>
      </c>
      <c r="B8" s="24" t="s">
        <v>84</v>
      </c>
      <c r="C8" s="28" t="str">
        <f aca="false">IF(B8="","",IFERROR(INDEX(Productos!$B$5:$B$16,MATCH(B8,Productos!$A$5:$A$16,0)),"Código no encontrado"))</f>
        <v>Café molido 500g</v>
      </c>
      <c r="D8" s="24" t="s">
        <v>106</v>
      </c>
      <c r="E8" s="25" t="n">
        <v>12</v>
      </c>
      <c r="F8" s="24" t="s">
        <v>107</v>
      </c>
    </row>
    <row r="9" customFormat="false" ht="15" hidden="false" customHeight="false" outlineLevel="0" collapsed="false">
      <c r="A9" s="27" t="n">
        <v>46034</v>
      </c>
      <c r="B9" s="24" t="s">
        <v>90</v>
      </c>
      <c r="C9" s="28" t="str">
        <f aca="false">IF(B9="","",IFERROR(INDEX(Productos!$B$5:$B$16,MATCH(B9,Productos!$A$5:$A$16,0)),"Código no encontrado"))</f>
        <v>Zapatillas urbanas</v>
      </c>
      <c r="D9" s="24" t="s">
        <v>104</v>
      </c>
      <c r="E9" s="25" t="n">
        <v>10</v>
      </c>
      <c r="F9" s="24" t="s">
        <v>105</v>
      </c>
    </row>
    <row r="10" customFormat="false" ht="15" hidden="false" customHeight="false" outlineLevel="0" collapsed="false">
      <c r="A10" s="27" t="n">
        <v>46037</v>
      </c>
      <c r="B10" s="24" t="s">
        <v>90</v>
      </c>
      <c r="C10" s="28" t="str">
        <f aca="false">IF(B10="","",IFERROR(INDEX(Productos!$B$5:$B$16,MATCH(B10,Productos!$A$5:$A$16,0)),"Código no encontrado"))</f>
        <v>Zapatillas urbanas</v>
      </c>
      <c r="D10" s="24" t="s">
        <v>106</v>
      </c>
      <c r="E10" s="25" t="n">
        <v>6</v>
      </c>
      <c r="F10" s="24" t="s">
        <v>108</v>
      </c>
    </row>
    <row r="11" customFormat="false" ht="15" hidden="false" customHeight="false" outlineLevel="0" collapsed="false">
      <c r="A11" s="27" t="n">
        <v>46040</v>
      </c>
      <c r="B11" s="24" t="s">
        <v>92</v>
      </c>
      <c r="C11" s="28" t="str">
        <f aca="false">IF(B11="","",IFERROR(INDEX(Productos!$B$5:$B$16,MATCH(B11,Productos!$A$5:$A$16,0)),"Código no encontrado"))</f>
        <v>Detergente 1L</v>
      </c>
      <c r="D11" s="24" t="s">
        <v>104</v>
      </c>
      <c r="E11" s="25" t="n">
        <v>20</v>
      </c>
      <c r="F11" s="24" t="s">
        <v>105</v>
      </c>
    </row>
    <row r="12" customFormat="false" ht="15" hidden="false" customHeight="false" outlineLevel="0" collapsed="false">
      <c r="A12" s="27" t="n">
        <v>46042</v>
      </c>
      <c r="B12" s="24" t="s">
        <v>92</v>
      </c>
      <c r="C12" s="28" t="str">
        <f aca="false">IF(B12="","",IFERROR(INDEX(Productos!$B$5:$B$16,MATCH(B12,Productos!$A$5:$A$16,0)),"Código no encontrado"))</f>
        <v>Detergente 1L</v>
      </c>
      <c r="D12" s="24" t="s">
        <v>106</v>
      </c>
      <c r="E12" s="25" t="n">
        <v>8</v>
      </c>
      <c r="F12" s="24" t="s">
        <v>107</v>
      </c>
    </row>
    <row r="13" customFormat="false" ht="15" hidden="false" customHeight="false" outlineLevel="0" collapsed="false">
      <c r="A13" s="27" t="n">
        <v>46055</v>
      </c>
      <c r="B13" s="24" t="s">
        <v>94</v>
      </c>
      <c r="C13" s="28" t="str">
        <f aca="false">IF(B13="","",IFERROR(INDEX(Productos!$B$5:$B$16,MATCH(B13,Productos!$A$5:$A$16,0)),"Código no encontrado"))</f>
        <v>Cuaderno A4</v>
      </c>
      <c r="D13" s="24" t="s">
        <v>104</v>
      </c>
      <c r="E13" s="25" t="n">
        <v>30</v>
      </c>
      <c r="F13" s="24" t="s">
        <v>105</v>
      </c>
    </row>
    <row r="14" customFormat="false" ht="15" hidden="false" customHeight="false" outlineLevel="0" collapsed="false">
      <c r="A14" s="27" t="n">
        <v>46058</v>
      </c>
      <c r="B14" s="24" t="s">
        <v>94</v>
      </c>
      <c r="C14" s="28" t="str">
        <f aca="false">IF(B14="","",IFERROR(INDEX(Productos!$B$5:$B$16,MATCH(B14,Productos!$A$5:$A$16,0)),"Código no encontrado"))</f>
        <v>Cuaderno A4</v>
      </c>
      <c r="D14" s="24" t="s">
        <v>106</v>
      </c>
      <c r="E14" s="25" t="n">
        <v>10</v>
      </c>
      <c r="F14" s="24" t="s">
        <v>107</v>
      </c>
    </row>
    <row r="15" customFormat="false" ht="15" hidden="false" customHeight="false" outlineLevel="0" collapsed="false">
      <c r="A15" s="27" t="n">
        <v>46061</v>
      </c>
      <c r="B15" s="24" t="s">
        <v>82</v>
      </c>
      <c r="C15" s="28" t="str">
        <f aca="false">IF(B15="","",IFERROR(INDEX(Productos!$B$5:$B$16,MATCH(B15,Productos!$A$5:$A$16,0)),"Código no encontrado"))</f>
        <v>Cargador USB-C</v>
      </c>
      <c r="D15" s="24" t="s">
        <v>104</v>
      </c>
      <c r="E15" s="25" t="n">
        <v>50</v>
      </c>
      <c r="F15" s="24" t="s">
        <v>105</v>
      </c>
    </row>
    <row r="16" customFormat="false" ht="15" hidden="false" customHeight="false" outlineLevel="0" collapsed="false">
      <c r="A16" s="27" t="n">
        <v>46063</v>
      </c>
      <c r="B16" s="24" t="s">
        <v>82</v>
      </c>
      <c r="C16" s="28" t="str">
        <f aca="false">IF(B16="","",IFERROR(INDEX(Productos!$B$5:$B$16,MATCH(B16,Productos!$A$5:$A$16,0)),"Código no encontrado"))</f>
        <v>Cargador USB-C</v>
      </c>
      <c r="D16" s="24" t="s">
        <v>106</v>
      </c>
      <c r="E16" s="25" t="n">
        <v>15</v>
      </c>
      <c r="F16" s="24" t="s">
        <v>108</v>
      </c>
    </row>
    <row r="17" customFormat="false" ht="15" hidden="false" customHeight="false" outlineLevel="0" collapsed="false">
      <c r="A17" s="27" t="n">
        <v>46067</v>
      </c>
      <c r="B17" s="24" t="s">
        <v>86</v>
      </c>
      <c r="C17" s="28" t="str">
        <f aca="false">IF(B17="","",IFERROR(INDEX(Productos!$B$5:$B$16,MATCH(B17,Productos!$A$5:$A$16,0)),"Código no encontrado"))</f>
        <v>Aceite vegetal 1L</v>
      </c>
      <c r="D17" s="24" t="s">
        <v>104</v>
      </c>
      <c r="E17" s="25" t="n">
        <v>10</v>
      </c>
      <c r="F17" s="24" t="s">
        <v>105</v>
      </c>
    </row>
    <row r="18" customFormat="false" ht="15" hidden="false" customHeight="false" outlineLevel="0" collapsed="false">
      <c r="A18" s="27" t="n">
        <v>46071</v>
      </c>
      <c r="B18" s="24" t="s">
        <v>88</v>
      </c>
      <c r="C18" s="28" t="str">
        <f aca="false">IF(B18="","",IFERROR(INDEX(Productos!$B$5:$B$16,MATCH(B18,Productos!$A$5:$A$16,0)),"Código no encontrado"))</f>
        <v>Camiseta básica</v>
      </c>
      <c r="D18" s="24" t="s">
        <v>106</v>
      </c>
      <c r="E18" s="25" t="n">
        <v>5</v>
      </c>
      <c r="F18" s="24" t="s">
        <v>107</v>
      </c>
    </row>
    <row r="19" customFormat="false" ht="15" hidden="false" customHeight="false" outlineLevel="0" collapsed="false">
      <c r="A19" s="27" t="n">
        <v>46083</v>
      </c>
      <c r="B19" s="24" t="s">
        <v>80</v>
      </c>
      <c r="C19" s="28" t="str">
        <f aca="false">IF(B19="","",IFERROR(INDEX(Productos!$B$5:$B$16,MATCH(B19,Productos!$A$5:$A$16,0)),"Código no encontrado"))</f>
        <v>Audífonos Bluetooth</v>
      </c>
      <c r="D19" s="24" t="s">
        <v>106</v>
      </c>
      <c r="E19" s="25" t="n">
        <v>8</v>
      </c>
      <c r="F19" s="24" t="s">
        <v>108</v>
      </c>
    </row>
    <row r="20" customFormat="false" ht="15" hidden="false" customHeight="false" outlineLevel="0" collapsed="false">
      <c r="A20" s="27" t="n">
        <v>46086</v>
      </c>
      <c r="B20" s="24" t="s">
        <v>90</v>
      </c>
      <c r="C20" s="28" t="str">
        <f aca="false">IF(B20="","",IFERROR(INDEX(Productos!$B$5:$B$16,MATCH(B20,Productos!$A$5:$A$16,0)),"Código no encontrado"))</f>
        <v>Zapatillas urbanas</v>
      </c>
      <c r="D20" s="24" t="s">
        <v>106</v>
      </c>
      <c r="E20" s="25" t="n">
        <v>10</v>
      </c>
      <c r="F20" s="24" t="s">
        <v>109</v>
      </c>
    </row>
    <row r="21" customFormat="false" ht="15" hidden="false" customHeight="false" outlineLevel="0" collapsed="false">
      <c r="A21" s="27"/>
      <c r="B21" s="24"/>
      <c r="C21" s="28" t="str">
        <f aca="false">IF(B21="","",IFERROR(INDEX(Productos!$B$5:$B$16,MATCH(B21,Productos!$A$5:$A$16,0)),"Código no encontrado"))</f>
        <v/>
      </c>
      <c r="D21" s="24"/>
      <c r="E21" s="25"/>
      <c r="F21" s="24"/>
    </row>
    <row r="22" customFormat="false" ht="15" hidden="false" customHeight="false" outlineLevel="0" collapsed="false">
      <c r="A22" s="27"/>
      <c r="B22" s="24"/>
      <c r="C22" s="28" t="str">
        <f aca="false">IF(B22="","",IFERROR(INDEX(Productos!$B$5:$B$16,MATCH(B22,Productos!$A$5:$A$16,0)),"Código no encontrado"))</f>
        <v/>
      </c>
      <c r="D22" s="24"/>
      <c r="E22" s="25"/>
      <c r="F22" s="24"/>
    </row>
    <row r="23" customFormat="false" ht="15" hidden="false" customHeight="false" outlineLevel="0" collapsed="false">
      <c r="A23" s="27"/>
      <c r="B23" s="24"/>
      <c r="C23" s="28" t="str">
        <f aca="false">IF(B23="","",IFERROR(INDEX(Productos!$B$5:$B$16,MATCH(B23,Productos!$A$5:$A$16,0)),"Código no encontrado"))</f>
        <v/>
      </c>
      <c r="D23" s="24"/>
      <c r="E23" s="25"/>
      <c r="F23" s="24"/>
    </row>
    <row r="24" customFormat="false" ht="15" hidden="false" customHeight="false" outlineLevel="0" collapsed="false">
      <c r="A24" s="27"/>
      <c r="B24" s="24"/>
      <c r="C24" s="28" t="str">
        <f aca="false">IF(B24="","",IFERROR(INDEX(Productos!$B$5:$B$16,MATCH(B24,Productos!$A$5:$A$16,0)),"Código no encontrado"))</f>
        <v/>
      </c>
      <c r="D24" s="24"/>
      <c r="E24" s="25"/>
      <c r="F24" s="24"/>
    </row>
    <row r="25" customFormat="false" ht="15" hidden="false" customHeight="false" outlineLevel="0" collapsed="false">
      <c r="A25" s="27"/>
      <c r="B25" s="24"/>
      <c r="C25" s="28" t="str">
        <f aca="false">IF(B25="","",IFERROR(INDEX(Productos!$B$5:$B$16,MATCH(B25,Productos!$A$5:$A$16,0)),"Código no encontrado"))</f>
        <v/>
      </c>
      <c r="D25" s="24"/>
      <c r="E25" s="25"/>
      <c r="F25" s="24"/>
    </row>
    <row r="26" customFormat="false" ht="15" hidden="false" customHeight="false" outlineLevel="0" collapsed="false">
      <c r="A26" s="27"/>
      <c r="B26" s="24"/>
      <c r="C26" s="28" t="str">
        <f aca="false">IF(B26="","",IFERROR(INDEX(Productos!$B$5:$B$16,MATCH(B26,Productos!$A$5:$A$16,0)),"Código no encontrado"))</f>
        <v/>
      </c>
      <c r="D26" s="24"/>
      <c r="E26" s="25"/>
      <c r="F26" s="24"/>
    </row>
    <row r="27" customFormat="false" ht="15" hidden="false" customHeight="false" outlineLevel="0" collapsed="false">
      <c r="A27" s="27"/>
      <c r="B27" s="24"/>
      <c r="C27" s="28" t="str">
        <f aca="false">IF(B27="","",IFERROR(INDEX(Productos!$B$5:$B$16,MATCH(B27,Productos!$A$5:$A$16,0)),"Código no encontrado"))</f>
        <v/>
      </c>
      <c r="D27" s="24"/>
      <c r="E27" s="25"/>
      <c r="F27" s="24"/>
    </row>
    <row r="28" customFormat="false" ht="15" hidden="false" customHeight="false" outlineLevel="0" collapsed="false">
      <c r="A28" s="27"/>
      <c r="B28" s="24"/>
      <c r="C28" s="28" t="str">
        <f aca="false">IF(B28="","",IFERROR(INDEX(Productos!$B$5:$B$16,MATCH(B28,Productos!$A$5:$A$16,0)),"Código no encontrado"))</f>
        <v/>
      </c>
      <c r="D28" s="24"/>
      <c r="E28" s="25"/>
      <c r="F28" s="24"/>
    </row>
    <row r="29" customFormat="false" ht="15" hidden="false" customHeight="false" outlineLevel="0" collapsed="false">
      <c r="A29" s="27"/>
      <c r="B29" s="24"/>
      <c r="C29" s="28" t="str">
        <f aca="false">IF(B29="","",IFERROR(INDEX(Productos!$B$5:$B$16,MATCH(B29,Productos!$A$5:$A$16,0)),"Código no encontrado"))</f>
        <v/>
      </c>
      <c r="D29" s="24"/>
      <c r="E29" s="25"/>
      <c r="F29" s="24"/>
    </row>
    <row r="30" customFormat="false" ht="15" hidden="false" customHeight="false" outlineLevel="0" collapsed="false">
      <c r="A30" s="27"/>
      <c r="B30" s="24"/>
      <c r="C30" s="28" t="str">
        <f aca="false">IF(B30="","",IFERROR(INDEX(Productos!$B$5:$B$16,MATCH(B30,Productos!$A$5:$A$16,0)),"Código no encontrado"))</f>
        <v/>
      </c>
      <c r="D30" s="24"/>
      <c r="E30" s="25"/>
      <c r="F30" s="24"/>
    </row>
    <row r="31" customFormat="false" ht="15" hidden="false" customHeight="false" outlineLevel="0" collapsed="false">
      <c r="A31" s="27"/>
      <c r="B31" s="24"/>
      <c r="C31" s="28" t="str">
        <f aca="false">IF(B31="","",IFERROR(INDEX(Productos!$B$5:$B$16,MATCH(B31,Productos!$A$5:$A$16,0)),"Código no encontrado"))</f>
        <v/>
      </c>
      <c r="D31" s="24"/>
      <c r="E31" s="25"/>
      <c r="F31" s="24"/>
    </row>
    <row r="32" customFormat="false" ht="15" hidden="false" customHeight="false" outlineLevel="0" collapsed="false">
      <c r="A32" s="27"/>
      <c r="B32" s="24"/>
      <c r="C32" s="28" t="str">
        <f aca="false">IF(B32="","",IFERROR(INDEX(Productos!$B$5:$B$16,MATCH(B32,Productos!$A$5:$A$16,0)),"Código no encontrado"))</f>
        <v/>
      </c>
      <c r="D32" s="24"/>
      <c r="E32" s="25"/>
      <c r="F32" s="24"/>
    </row>
    <row r="33" customFormat="false" ht="15" hidden="false" customHeight="false" outlineLevel="0" collapsed="false">
      <c r="A33" s="27"/>
      <c r="B33" s="24"/>
      <c r="C33" s="28" t="str">
        <f aca="false">IF(B33="","",IFERROR(INDEX(Productos!$B$5:$B$16,MATCH(B33,Productos!$A$5:$A$16,0)),"Código no encontrado"))</f>
        <v/>
      </c>
      <c r="D33" s="24"/>
      <c r="E33" s="25"/>
      <c r="F33" s="24"/>
    </row>
    <row r="34" customFormat="false" ht="15" hidden="false" customHeight="false" outlineLevel="0" collapsed="false">
      <c r="A34" s="27"/>
      <c r="B34" s="24"/>
      <c r="C34" s="28" t="str">
        <f aca="false">IF(B34="","",IFERROR(INDEX(Productos!$B$5:$B$16,MATCH(B34,Productos!$A$5:$A$16,0)),"Código no encontrado"))</f>
        <v/>
      </c>
      <c r="D34" s="24"/>
      <c r="E34" s="25"/>
      <c r="F34" s="24"/>
    </row>
    <row r="35" customFormat="false" ht="15" hidden="false" customHeight="false" outlineLevel="0" collapsed="false">
      <c r="A35" s="27"/>
      <c r="B35" s="24"/>
      <c r="C35" s="28" t="str">
        <f aca="false">IF(B35="","",IFERROR(INDEX(Productos!$B$5:$B$16,MATCH(B35,Productos!$A$5:$A$16,0)),"Código no encontrado"))</f>
        <v/>
      </c>
      <c r="D35" s="24"/>
      <c r="E35" s="25"/>
      <c r="F35" s="24"/>
    </row>
    <row r="36" customFormat="false" ht="15" hidden="false" customHeight="false" outlineLevel="0" collapsed="false">
      <c r="A36" s="27"/>
      <c r="B36" s="24"/>
      <c r="C36" s="28" t="str">
        <f aca="false">IF(B36="","",IFERROR(INDEX(Productos!$B$5:$B$16,MATCH(B36,Productos!$A$5:$A$16,0)),"Código no encontrado"))</f>
        <v/>
      </c>
      <c r="D36" s="24"/>
      <c r="E36" s="25"/>
      <c r="F36" s="24"/>
    </row>
    <row r="37" customFormat="false" ht="15" hidden="false" customHeight="false" outlineLevel="0" collapsed="false">
      <c r="A37" s="27"/>
      <c r="B37" s="24"/>
      <c r="C37" s="28" t="str">
        <f aca="false">IF(B37="","",IFERROR(INDEX(Productos!$B$5:$B$16,MATCH(B37,Productos!$A$5:$A$16,0)),"Código no encontrado"))</f>
        <v/>
      </c>
      <c r="D37" s="24"/>
      <c r="E37" s="25"/>
      <c r="F37" s="24"/>
    </row>
    <row r="38" customFormat="false" ht="15" hidden="false" customHeight="false" outlineLevel="0" collapsed="false">
      <c r="A38" s="27"/>
      <c r="B38" s="24"/>
      <c r="C38" s="28" t="str">
        <f aca="false">IF(B38="","",IFERROR(INDEX(Productos!$B$5:$B$16,MATCH(B38,Productos!$A$5:$A$16,0)),"Código no encontrado"))</f>
        <v/>
      </c>
      <c r="D38" s="24"/>
      <c r="E38" s="25"/>
      <c r="F38" s="24"/>
    </row>
    <row r="39" customFormat="false" ht="15" hidden="false" customHeight="false" outlineLevel="0" collapsed="false">
      <c r="A39" s="27"/>
      <c r="B39" s="24"/>
      <c r="C39" s="28" t="str">
        <f aca="false">IF(B39="","",IFERROR(INDEX(Productos!$B$5:$B$16,MATCH(B39,Productos!$A$5:$A$16,0)),"Código no encontrado"))</f>
        <v/>
      </c>
      <c r="D39" s="24"/>
      <c r="E39" s="25"/>
      <c r="F39" s="24"/>
    </row>
    <row r="40" customFormat="false" ht="15" hidden="false" customHeight="false" outlineLevel="0" collapsed="false">
      <c r="A40" s="27"/>
      <c r="B40" s="24"/>
      <c r="C40" s="28" t="str">
        <f aca="false">IF(B40="","",IFERROR(INDEX(Productos!$B$5:$B$16,MATCH(B40,Productos!$A$5:$A$16,0)),"Código no encontrado"))</f>
        <v/>
      </c>
      <c r="D40" s="24"/>
      <c r="E40" s="25"/>
      <c r="F40" s="24"/>
    </row>
    <row r="41" customFormat="false" ht="15" hidden="false" customHeight="false" outlineLevel="0" collapsed="false">
      <c r="A41" s="27"/>
      <c r="B41" s="24"/>
      <c r="C41" s="28" t="str">
        <f aca="false">IF(B41="","",IFERROR(INDEX(Productos!$B$5:$B$16,MATCH(B41,Productos!$A$5:$A$16,0)),"Código no encontrado"))</f>
        <v/>
      </c>
      <c r="D41" s="24"/>
      <c r="E41" s="25"/>
      <c r="F41" s="24"/>
    </row>
    <row r="42" customFormat="false" ht="15" hidden="false" customHeight="false" outlineLevel="0" collapsed="false">
      <c r="A42" s="27"/>
      <c r="B42" s="24"/>
      <c r="C42" s="28" t="str">
        <f aca="false">IF(B42="","",IFERROR(INDEX(Productos!$B$5:$B$16,MATCH(B42,Productos!$A$5:$A$16,0)),"Código no encontrado"))</f>
        <v/>
      </c>
      <c r="D42" s="24"/>
      <c r="E42" s="25"/>
      <c r="F42" s="24"/>
    </row>
    <row r="43" customFormat="false" ht="15" hidden="false" customHeight="false" outlineLevel="0" collapsed="false">
      <c r="A43" s="27"/>
      <c r="B43" s="24"/>
      <c r="C43" s="28" t="str">
        <f aca="false">IF(B43="","",IFERROR(INDEX(Productos!$B$5:$B$16,MATCH(B43,Productos!$A$5:$A$16,0)),"Código no encontrado"))</f>
        <v/>
      </c>
      <c r="D43" s="24"/>
      <c r="E43" s="25"/>
      <c r="F43" s="24"/>
    </row>
    <row r="44" customFormat="false" ht="15" hidden="false" customHeight="false" outlineLevel="0" collapsed="false">
      <c r="A44" s="27"/>
      <c r="B44" s="24"/>
      <c r="C44" s="28" t="str">
        <f aca="false">IF(B44="","",IFERROR(INDEX(Productos!$B$5:$B$16,MATCH(B44,Productos!$A$5:$A$16,0)),"Código no encontrado"))</f>
        <v/>
      </c>
      <c r="D44" s="24"/>
      <c r="E44" s="25"/>
      <c r="F44" s="24"/>
    </row>
    <row r="45" customFormat="false" ht="15" hidden="false" customHeight="false" outlineLevel="0" collapsed="false">
      <c r="A45" s="27"/>
      <c r="B45" s="24"/>
      <c r="C45" s="28" t="str">
        <f aca="false">IF(B45="","",IFERROR(INDEX(Productos!$B$5:$B$16,MATCH(B45,Productos!$A$5:$A$16,0)),"Código no encontrado"))</f>
        <v/>
      </c>
      <c r="D45" s="24"/>
      <c r="E45" s="25"/>
      <c r="F45" s="24"/>
    </row>
    <row r="46" customFormat="false" ht="15" hidden="false" customHeight="false" outlineLevel="0" collapsed="false">
      <c r="A46" s="27"/>
      <c r="B46" s="24"/>
      <c r="C46" s="28" t="str">
        <f aca="false">IF(B46="","",IFERROR(INDEX(Productos!$B$5:$B$16,MATCH(B46,Productos!$A$5:$A$16,0)),"Código no encontrado"))</f>
        <v/>
      </c>
      <c r="D46" s="24"/>
      <c r="E46" s="25"/>
      <c r="F46" s="24"/>
    </row>
    <row r="47" customFormat="false" ht="15" hidden="false" customHeight="false" outlineLevel="0" collapsed="false">
      <c r="A47" s="27"/>
      <c r="B47" s="24"/>
      <c r="C47" s="28" t="str">
        <f aca="false">IF(B47="","",IFERROR(INDEX(Productos!$B$5:$B$16,MATCH(B47,Productos!$A$5:$A$16,0)),"Código no encontrado"))</f>
        <v/>
      </c>
      <c r="D47" s="24"/>
      <c r="E47" s="25"/>
      <c r="F47" s="24"/>
    </row>
    <row r="48" customFormat="false" ht="15" hidden="false" customHeight="false" outlineLevel="0" collapsed="false">
      <c r="A48" s="27"/>
      <c r="B48" s="24"/>
      <c r="C48" s="28" t="str">
        <f aca="false">IF(B48="","",IFERROR(INDEX(Productos!$B$5:$B$16,MATCH(B48,Productos!$A$5:$A$16,0)),"Código no encontrado"))</f>
        <v/>
      </c>
      <c r="D48" s="24"/>
      <c r="E48" s="25"/>
      <c r="F48" s="24"/>
    </row>
    <row r="49" customFormat="false" ht="15" hidden="false" customHeight="false" outlineLevel="0" collapsed="false">
      <c r="A49" s="27"/>
      <c r="B49" s="24"/>
      <c r="C49" s="28" t="str">
        <f aca="false">IF(B49="","",IFERROR(INDEX(Productos!$B$5:$B$16,MATCH(B49,Productos!$A$5:$A$16,0)),"Código no encontrado"))</f>
        <v/>
      </c>
      <c r="D49" s="24"/>
      <c r="E49" s="25"/>
      <c r="F49" s="24"/>
    </row>
    <row r="50" customFormat="false" ht="15" hidden="false" customHeight="false" outlineLevel="0" collapsed="false">
      <c r="A50" s="27"/>
      <c r="B50" s="24"/>
      <c r="C50" s="28" t="str">
        <f aca="false">IF(B50="","",IFERROR(INDEX(Productos!$B$5:$B$16,MATCH(B50,Productos!$A$5:$A$16,0)),"Código no encontrado"))</f>
        <v/>
      </c>
      <c r="D50" s="24"/>
      <c r="E50" s="25"/>
      <c r="F50" s="24"/>
    </row>
    <row r="51" customFormat="false" ht="15" hidden="false" customHeight="false" outlineLevel="0" collapsed="false">
      <c r="A51" s="27"/>
      <c r="B51" s="24"/>
      <c r="C51" s="28" t="str">
        <f aca="false">IF(B51="","",IFERROR(INDEX(Productos!$B$5:$B$16,MATCH(B51,Productos!$A$5:$A$16,0)),"Código no encontrado"))</f>
        <v/>
      </c>
      <c r="D51" s="24"/>
      <c r="E51" s="25"/>
      <c r="F51" s="24"/>
    </row>
    <row r="52" customFormat="false" ht="15" hidden="false" customHeight="false" outlineLevel="0" collapsed="false">
      <c r="A52" s="27"/>
      <c r="B52" s="24"/>
      <c r="C52" s="28" t="str">
        <f aca="false">IF(B52="","",IFERROR(INDEX(Productos!$B$5:$B$16,MATCH(B52,Productos!$A$5:$A$16,0)),"Código no encontrado"))</f>
        <v/>
      </c>
      <c r="D52" s="24"/>
      <c r="E52" s="25"/>
      <c r="F52" s="24"/>
    </row>
    <row r="53" customFormat="false" ht="15" hidden="false" customHeight="false" outlineLevel="0" collapsed="false">
      <c r="A53" s="27"/>
      <c r="B53" s="24"/>
      <c r="C53" s="28" t="str">
        <f aca="false">IF(B53="","",IFERROR(INDEX(Productos!$B$5:$B$16,MATCH(B53,Productos!$A$5:$A$16,0)),"Código no encontrado"))</f>
        <v/>
      </c>
      <c r="D53" s="24"/>
      <c r="E53" s="25"/>
      <c r="F53" s="24"/>
    </row>
    <row r="54" customFormat="false" ht="15" hidden="false" customHeight="false" outlineLevel="0" collapsed="false">
      <c r="A54" s="27"/>
      <c r="B54" s="24"/>
      <c r="C54" s="28" t="str">
        <f aca="false">IF(B54="","",IFERROR(INDEX(Productos!$B$5:$B$16,MATCH(B54,Productos!$A$5:$A$16,0)),"Código no encontrado"))</f>
        <v/>
      </c>
      <c r="D54" s="24"/>
      <c r="E54" s="25"/>
      <c r="F54" s="24"/>
    </row>
    <row r="55" customFormat="false" ht="15" hidden="false" customHeight="false" outlineLevel="0" collapsed="false">
      <c r="A55" s="27"/>
      <c r="B55" s="24"/>
      <c r="C55" s="28" t="str">
        <f aca="false">IF(B55="","",IFERROR(INDEX(Productos!$B$5:$B$16,MATCH(B55,Productos!$A$5:$A$16,0)),"Código no encontrado"))</f>
        <v/>
      </c>
      <c r="D55" s="24"/>
      <c r="E55" s="25"/>
      <c r="F55" s="24"/>
    </row>
    <row r="56" customFormat="false" ht="15" hidden="false" customHeight="false" outlineLevel="0" collapsed="false">
      <c r="A56" s="27"/>
      <c r="B56" s="24"/>
      <c r="C56" s="28" t="str">
        <f aca="false">IF(B56="","",IFERROR(INDEX(Productos!$B$5:$B$16,MATCH(B56,Productos!$A$5:$A$16,0)),"Código no encontrado"))</f>
        <v/>
      </c>
      <c r="D56" s="24"/>
      <c r="E56" s="25"/>
      <c r="F56" s="24"/>
    </row>
    <row r="57" customFormat="false" ht="15" hidden="false" customHeight="false" outlineLevel="0" collapsed="false">
      <c r="A57" s="27"/>
      <c r="B57" s="24"/>
      <c r="C57" s="28" t="str">
        <f aca="false">IF(B57="","",IFERROR(INDEX(Productos!$B$5:$B$16,MATCH(B57,Productos!$A$5:$A$16,0)),"Código no encontrado"))</f>
        <v/>
      </c>
      <c r="D57" s="24"/>
      <c r="E57" s="25"/>
      <c r="F57" s="24"/>
    </row>
    <row r="58" customFormat="false" ht="15" hidden="false" customHeight="false" outlineLevel="0" collapsed="false">
      <c r="A58" s="27"/>
      <c r="B58" s="24"/>
      <c r="C58" s="28" t="str">
        <f aca="false">IF(B58="","",IFERROR(INDEX(Productos!$B$5:$B$16,MATCH(B58,Productos!$A$5:$A$16,0)),"Código no encontrado"))</f>
        <v/>
      </c>
      <c r="D58" s="24"/>
      <c r="E58" s="25"/>
      <c r="F58" s="24"/>
    </row>
    <row r="59" customFormat="false" ht="15" hidden="false" customHeight="false" outlineLevel="0" collapsed="false">
      <c r="A59" s="27"/>
      <c r="B59" s="24"/>
      <c r="C59" s="28" t="str">
        <f aca="false">IF(B59="","",IFERROR(INDEX(Productos!$B$5:$B$16,MATCH(B59,Productos!$A$5:$A$16,0)),"Código no encontrado"))</f>
        <v/>
      </c>
      <c r="D59" s="24"/>
      <c r="E59" s="25"/>
      <c r="F59" s="24"/>
    </row>
    <row r="60" customFormat="false" ht="15" hidden="false" customHeight="false" outlineLevel="0" collapsed="false">
      <c r="A60" s="27"/>
      <c r="B60" s="24"/>
      <c r="C60" s="28" t="str">
        <f aca="false">IF(B60="","",IFERROR(INDEX(Productos!$B$5:$B$16,MATCH(B60,Productos!$A$5:$A$16,0)),"Código no encontrado"))</f>
        <v/>
      </c>
      <c r="D60" s="24"/>
      <c r="E60" s="25"/>
      <c r="F60" s="24"/>
    </row>
    <row r="61" customFormat="false" ht="15" hidden="false" customHeight="false" outlineLevel="0" collapsed="false">
      <c r="A61" s="27"/>
      <c r="B61" s="24"/>
      <c r="C61" s="28" t="str">
        <f aca="false">IF(B61="","",IFERROR(INDEX(Productos!$B$5:$B$16,MATCH(B61,Productos!$A$5:$A$16,0)),"Código no encontrado"))</f>
        <v/>
      </c>
      <c r="D61" s="24"/>
      <c r="E61" s="25"/>
      <c r="F61" s="24"/>
    </row>
    <row r="62" customFormat="false" ht="15" hidden="false" customHeight="false" outlineLevel="0" collapsed="false">
      <c r="A62" s="27"/>
      <c r="B62" s="24"/>
      <c r="C62" s="28" t="str">
        <f aca="false">IF(B62="","",IFERROR(INDEX(Productos!$B$5:$B$16,MATCH(B62,Productos!$A$5:$A$16,0)),"Código no encontrado"))</f>
        <v/>
      </c>
      <c r="D62" s="24"/>
      <c r="E62" s="25"/>
      <c r="F62" s="24"/>
    </row>
    <row r="63" customFormat="false" ht="15" hidden="false" customHeight="false" outlineLevel="0" collapsed="false">
      <c r="A63" s="27"/>
      <c r="B63" s="24"/>
      <c r="C63" s="28" t="str">
        <f aca="false">IF(B63="","",IFERROR(INDEX(Productos!$B$5:$B$16,MATCH(B63,Productos!$A$5:$A$16,0)),"Código no encontrado"))</f>
        <v/>
      </c>
      <c r="D63" s="24"/>
      <c r="E63" s="25"/>
      <c r="F63" s="24"/>
    </row>
    <row r="64" customFormat="false" ht="15" hidden="false" customHeight="false" outlineLevel="0" collapsed="false">
      <c r="A64" s="27"/>
      <c r="B64" s="24"/>
      <c r="C64" s="28" t="str">
        <f aca="false">IF(B64="","",IFERROR(INDEX(Productos!$B$5:$B$16,MATCH(B64,Productos!$A$5:$A$16,0)),"Código no encontrado"))</f>
        <v/>
      </c>
      <c r="D64" s="24"/>
      <c r="E64" s="25"/>
      <c r="F64" s="24"/>
    </row>
    <row r="65" customFormat="false" ht="15" hidden="false" customHeight="false" outlineLevel="0" collapsed="false">
      <c r="A65" s="27"/>
      <c r="B65" s="24"/>
      <c r="C65" s="28" t="str">
        <f aca="false">IF(B65="","",IFERROR(INDEX(Productos!$B$5:$B$16,MATCH(B65,Productos!$A$5:$A$16,0)),"Código no encontrado"))</f>
        <v/>
      </c>
      <c r="D65" s="24"/>
      <c r="E65" s="25"/>
      <c r="F65" s="24"/>
    </row>
    <row r="66" customFormat="false" ht="15" hidden="false" customHeight="false" outlineLevel="0" collapsed="false">
      <c r="A66" s="27"/>
      <c r="B66" s="24"/>
      <c r="C66" s="28" t="str">
        <f aca="false">IF(B66="","",IFERROR(INDEX(Productos!$B$5:$B$16,MATCH(B66,Productos!$A$5:$A$16,0)),"Código no encontrado"))</f>
        <v/>
      </c>
      <c r="D66" s="24"/>
      <c r="E66" s="25"/>
      <c r="F66" s="24"/>
    </row>
    <row r="67" customFormat="false" ht="15" hidden="false" customHeight="false" outlineLevel="0" collapsed="false">
      <c r="A67" s="27"/>
      <c r="B67" s="24"/>
      <c r="C67" s="28" t="str">
        <f aca="false">IF(B67="","",IFERROR(INDEX(Productos!$B$5:$B$16,MATCH(B67,Productos!$A$5:$A$16,0)),"Código no encontrado"))</f>
        <v/>
      </c>
      <c r="D67" s="24"/>
      <c r="E67" s="25"/>
      <c r="F67" s="24"/>
    </row>
    <row r="68" customFormat="false" ht="15" hidden="false" customHeight="false" outlineLevel="0" collapsed="false">
      <c r="A68" s="27"/>
      <c r="B68" s="24"/>
      <c r="C68" s="28" t="str">
        <f aca="false">IF(B68="","",IFERROR(INDEX(Productos!$B$5:$B$16,MATCH(B68,Productos!$A$5:$A$16,0)),"Código no encontrado"))</f>
        <v/>
      </c>
      <c r="D68" s="24"/>
      <c r="E68" s="25"/>
      <c r="F68" s="24"/>
    </row>
    <row r="69" customFormat="false" ht="15" hidden="false" customHeight="false" outlineLevel="0" collapsed="false">
      <c r="A69" s="27"/>
      <c r="B69" s="24"/>
      <c r="C69" s="28" t="str">
        <f aca="false">IF(B69="","",IFERROR(INDEX(Productos!$B$5:$B$16,MATCH(B69,Productos!$A$5:$A$16,0)),"Código no encontrado"))</f>
        <v/>
      </c>
      <c r="D69" s="24"/>
      <c r="E69" s="25"/>
      <c r="F69" s="24"/>
    </row>
    <row r="70" customFormat="false" ht="15" hidden="false" customHeight="false" outlineLevel="0" collapsed="false">
      <c r="A70" s="27"/>
      <c r="B70" s="24"/>
      <c r="C70" s="28" t="str">
        <f aca="false">IF(B70="","",IFERROR(INDEX(Productos!$B$5:$B$16,MATCH(B70,Productos!$A$5:$A$16,0)),"Código no encontrado"))</f>
        <v/>
      </c>
      <c r="D70" s="24"/>
      <c r="E70" s="25"/>
      <c r="F70" s="24"/>
    </row>
    <row r="71" customFormat="false" ht="15" hidden="false" customHeight="false" outlineLevel="0" collapsed="false">
      <c r="A71" s="27"/>
      <c r="B71" s="24"/>
      <c r="C71" s="28" t="str">
        <f aca="false">IF(B71="","",IFERROR(INDEX(Productos!$B$5:$B$16,MATCH(B71,Productos!$A$5:$A$16,0)),"Código no encontrado"))</f>
        <v/>
      </c>
      <c r="D71" s="24"/>
      <c r="E71" s="25"/>
      <c r="F71" s="24"/>
    </row>
    <row r="72" customFormat="false" ht="15" hidden="false" customHeight="false" outlineLevel="0" collapsed="false">
      <c r="A72" s="27"/>
      <c r="B72" s="24"/>
      <c r="C72" s="28" t="str">
        <f aca="false">IF(B72="","",IFERROR(INDEX(Productos!$B$5:$B$16,MATCH(B72,Productos!$A$5:$A$16,0)),"Código no encontrado"))</f>
        <v/>
      </c>
      <c r="D72" s="24"/>
      <c r="E72" s="25"/>
      <c r="F72" s="24"/>
    </row>
    <row r="73" customFormat="false" ht="15" hidden="false" customHeight="false" outlineLevel="0" collapsed="false">
      <c r="A73" s="27"/>
      <c r="B73" s="24"/>
      <c r="C73" s="28" t="str">
        <f aca="false">IF(B73="","",IFERROR(INDEX(Productos!$B$5:$B$16,MATCH(B73,Productos!$A$5:$A$16,0)),"Código no encontrado"))</f>
        <v/>
      </c>
      <c r="D73" s="24"/>
      <c r="E73" s="25"/>
      <c r="F73" s="24"/>
    </row>
    <row r="74" customFormat="false" ht="15" hidden="false" customHeight="false" outlineLevel="0" collapsed="false">
      <c r="A74" s="27"/>
      <c r="B74" s="24"/>
      <c r="C74" s="28" t="str">
        <f aca="false">IF(B74="","",IFERROR(INDEX(Productos!$B$5:$B$16,MATCH(B74,Productos!$A$5:$A$16,0)),"Código no encontrado"))</f>
        <v/>
      </c>
      <c r="D74" s="24"/>
      <c r="E74" s="25"/>
      <c r="F74" s="24"/>
    </row>
    <row r="75" customFormat="false" ht="15" hidden="false" customHeight="false" outlineLevel="0" collapsed="false">
      <c r="A75" s="27"/>
      <c r="B75" s="24"/>
      <c r="C75" s="28" t="str">
        <f aca="false">IF(B75="","",IFERROR(INDEX(Productos!$B$5:$B$16,MATCH(B75,Productos!$A$5:$A$16,0)),"Código no encontrado"))</f>
        <v/>
      </c>
      <c r="D75" s="24"/>
      <c r="E75" s="25"/>
      <c r="F75" s="24"/>
    </row>
    <row r="76" customFormat="false" ht="15" hidden="false" customHeight="false" outlineLevel="0" collapsed="false">
      <c r="A76" s="27"/>
      <c r="B76" s="24"/>
      <c r="C76" s="28" t="str">
        <f aca="false">IF(B76="","",IFERROR(INDEX(Productos!$B$5:$B$16,MATCH(B76,Productos!$A$5:$A$16,0)),"Código no encontrado"))</f>
        <v/>
      </c>
      <c r="D76" s="24"/>
      <c r="E76" s="25"/>
      <c r="F76" s="24"/>
    </row>
    <row r="77" customFormat="false" ht="15" hidden="false" customHeight="false" outlineLevel="0" collapsed="false">
      <c r="A77" s="27"/>
      <c r="B77" s="24"/>
      <c r="C77" s="28" t="str">
        <f aca="false">IF(B77="","",IFERROR(INDEX(Productos!$B$5:$B$16,MATCH(B77,Productos!$A$5:$A$16,0)),"Código no encontrado"))</f>
        <v/>
      </c>
      <c r="D77" s="24"/>
      <c r="E77" s="25"/>
      <c r="F77" s="24"/>
    </row>
    <row r="78" customFormat="false" ht="15" hidden="false" customHeight="false" outlineLevel="0" collapsed="false">
      <c r="A78" s="27"/>
      <c r="B78" s="24"/>
      <c r="C78" s="28" t="str">
        <f aca="false">IF(B78="","",IFERROR(INDEX(Productos!$B$5:$B$16,MATCH(B78,Productos!$A$5:$A$16,0)),"Código no encontrado"))</f>
        <v/>
      </c>
      <c r="D78" s="24"/>
      <c r="E78" s="25"/>
      <c r="F78" s="24"/>
    </row>
    <row r="79" customFormat="false" ht="15" hidden="false" customHeight="false" outlineLevel="0" collapsed="false">
      <c r="A79" s="27"/>
      <c r="B79" s="24"/>
      <c r="C79" s="28" t="str">
        <f aca="false">IF(B79="","",IFERROR(INDEX(Productos!$B$5:$B$16,MATCH(B79,Productos!$A$5:$A$16,0)),"Código no encontrado"))</f>
        <v/>
      </c>
      <c r="D79" s="24"/>
      <c r="E79" s="25"/>
      <c r="F79" s="24"/>
    </row>
    <row r="80" customFormat="false" ht="15" hidden="false" customHeight="false" outlineLevel="0" collapsed="false">
      <c r="A80" s="27"/>
      <c r="B80" s="24"/>
      <c r="C80" s="28" t="str">
        <f aca="false">IF(B80="","",IFERROR(INDEX(Productos!$B$5:$B$16,MATCH(B80,Productos!$A$5:$A$16,0)),"Código no encontrado"))</f>
        <v/>
      </c>
      <c r="D80" s="24"/>
      <c r="E80" s="25"/>
      <c r="F80" s="24"/>
    </row>
    <row r="81" customFormat="false" ht="15" hidden="false" customHeight="false" outlineLevel="0" collapsed="false">
      <c r="A81" s="27"/>
      <c r="B81" s="24"/>
      <c r="C81" s="28" t="str">
        <f aca="false">IF(B81="","",IFERROR(INDEX(Productos!$B$5:$B$16,MATCH(B81,Productos!$A$5:$A$16,0)),"Código no encontrado"))</f>
        <v/>
      </c>
      <c r="D81" s="24"/>
      <c r="E81" s="25"/>
      <c r="F81" s="24"/>
    </row>
    <row r="82" customFormat="false" ht="15" hidden="false" customHeight="false" outlineLevel="0" collapsed="false">
      <c r="A82" s="27"/>
      <c r="B82" s="24"/>
      <c r="C82" s="28" t="str">
        <f aca="false">IF(B82="","",IFERROR(INDEX(Productos!$B$5:$B$16,MATCH(B82,Productos!$A$5:$A$16,0)),"Código no encontrado"))</f>
        <v/>
      </c>
      <c r="D82" s="24"/>
      <c r="E82" s="25"/>
      <c r="F82" s="24"/>
    </row>
    <row r="83" customFormat="false" ht="15" hidden="false" customHeight="false" outlineLevel="0" collapsed="false">
      <c r="A83" s="27"/>
      <c r="B83" s="24"/>
      <c r="C83" s="28" t="str">
        <f aca="false">IF(B83="","",IFERROR(INDEX(Productos!$B$5:$B$16,MATCH(B83,Productos!$A$5:$A$16,0)),"Código no encontrado"))</f>
        <v/>
      </c>
      <c r="D83" s="24"/>
      <c r="E83" s="25"/>
      <c r="F83" s="24"/>
    </row>
    <row r="84" customFormat="false" ht="15" hidden="false" customHeight="false" outlineLevel="0" collapsed="false">
      <c r="A84" s="27"/>
      <c r="B84" s="24"/>
      <c r="C84" s="28" t="str">
        <f aca="false">IF(B84="","",IFERROR(INDEX(Productos!$B$5:$B$16,MATCH(B84,Productos!$A$5:$A$16,0)),"Código no encontrado"))</f>
        <v/>
      </c>
      <c r="D84" s="24"/>
      <c r="E84" s="25"/>
      <c r="F84" s="24"/>
    </row>
    <row r="85" customFormat="false" ht="15" hidden="false" customHeight="false" outlineLevel="0" collapsed="false">
      <c r="A85" s="27"/>
      <c r="B85" s="24"/>
      <c r="C85" s="28" t="str">
        <f aca="false">IF(B85="","",IFERROR(INDEX(Productos!$B$5:$B$16,MATCH(B85,Productos!$A$5:$A$16,0)),"Código no encontrado"))</f>
        <v/>
      </c>
      <c r="D85" s="24"/>
      <c r="E85" s="25"/>
      <c r="F85" s="24"/>
    </row>
    <row r="86" customFormat="false" ht="15" hidden="false" customHeight="false" outlineLevel="0" collapsed="false">
      <c r="A86" s="27"/>
      <c r="B86" s="24"/>
      <c r="C86" s="28" t="str">
        <f aca="false">IF(B86="","",IFERROR(INDEX(Productos!$B$5:$B$16,MATCH(B86,Productos!$A$5:$A$16,0)),"Código no encontrado"))</f>
        <v/>
      </c>
      <c r="D86" s="24"/>
      <c r="E86" s="25"/>
      <c r="F86" s="24"/>
    </row>
    <row r="87" customFormat="false" ht="15" hidden="false" customHeight="false" outlineLevel="0" collapsed="false">
      <c r="A87" s="27"/>
      <c r="B87" s="24"/>
      <c r="C87" s="28" t="str">
        <f aca="false">IF(B87="","",IFERROR(INDEX(Productos!$B$5:$B$16,MATCH(B87,Productos!$A$5:$A$16,0)),"Código no encontrado"))</f>
        <v/>
      </c>
      <c r="D87" s="24"/>
      <c r="E87" s="25"/>
      <c r="F87" s="24"/>
    </row>
    <row r="88" customFormat="false" ht="15" hidden="false" customHeight="false" outlineLevel="0" collapsed="false">
      <c r="A88" s="27"/>
      <c r="B88" s="24"/>
      <c r="C88" s="28" t="str">
        <f aca="false">IF(B88="","",IFERROR(INDEX(Productos!$B$5:$B$16,MATCH(B88,Productos!$A$5:$A$16,0)),"Código no encontrado"))</f>
        <v/>
      </c>
      <c r="D88" s="24"/>
      <c r="E88" s="25"/>
      <c r="F88" s="24"/>
    </row>
    <row r="89" customFormat="false" ht="15" hidden="false" customHeight="false" outlineLevel="0" collapsed="false">
      <c r="A89" s="27"/>
      <c r="B89" s="24"/>
      <c r="C89" s="28" t="str">
        <f aca="false">IF(B89="","",IFERROR(INDEX(Productos!$B$5:$B$16,MATCH(B89,Productos!$A$5:$A$16,0)),"Código no encontrado"))</f>
        <v/>
      </c>
      <c r="D89" s="24"/>
      <c r="E89" s="25"/>
      <c r="F89" s="24"/>
    </row>
    <row r="90" customFormat="false" ht="15" hidden="false" customHeight="false" outlineLevel="0" collapsed="false">
      <c r="A90" s="27"/>
      <c r="B90" s="24"/>
      <c r="C90" s="28" t="str">
        <f aca="false">IF(B90="","",IFERROR(INDEX(Productos!$B$5:$B$16,MATCH(B90,Productos!$A$5:$A$16,0)),"Código no encontrado"))</f>
        <v/>
      </c>
      <c r="D90" s="24"/>
      <c r="E90" s="25"/>
      <c r="F90" s="24"/>
    </row>
    <row r="91" customFormat="false" ht="15" hidden="false" customHeight="false" outlineLevel="0" collapsed="false">
      <c r="A91" s="27"/>
      <c r="B91" s="24"/>
      <c r="C91" s="28" t="str">
        <f aca="false">IF(B91="","",IFERROR(INDEX(Productos!$B$5:$B$16,MATCH(B91,Productos!$A$5:$A$16,0)),"Código no encontrado"))</f>
        <v/>
      </c>
      <c r="D91" s="24"/>
      <c r="E91" s="25"/>
      <c r="F91" s="24"/>
    </row>
    <row r="92" customFormat="false" ht="15" hidden="false" customHeight="false" outlineLevel="0" collapsed="false">
      <c r="A92" s="27"/>
      <c r="B92" s="24"/>
      <c r="C92" s="28" t="str">
        <f aca="false">IF(B92="","",IFERROR(INDEX(Productos!$B$5:$B$16,MATCH(B92,Productos!$A$5:$A$16,0)),"Código no encontrado"))</f>
        <v/>
      </c>
      <c r="D92" s="24"/>
      <c r="E92" s="25"/>
      <c r="F92" s="24"/>
    </row>
    <row r="93" customFormat="false" ht="15" hidden="false" customHeight="false" outlineLevel="0" collapsed="false">
      <c r="A93" s="27"/>
      <c r="B93" s="24"/>
      <c r="C93" s="28" t="str">
        <f aca="false">IF(B93="","",IFERROR(INDEX(Productos!$B$5:$B$16,MATCH(B93,Productos!$A$5:$A$16,0)),"Código no encontrado"))</f>
        <v/>
      </c>
      <c r="D93" s="24"/>
      <c r="E93" s="25"/>
      <c r="F93" s="24"/>
    </row>
    <row r="94" customFormat="false" ht="15" hidden="false" customHeight="false" outlineLevel="0" collapsed="false">
      <c r="A94" s="27"/>
      <c r="B94" s="24"/>
      <c r="C94" s="28" t="str">
        <f aca="false">IF(B94="","",IFERROR(INDEX(Productos!$B$5:$B$16,MATCH(B94,Productos!$A$5:$A$16,0)),"Código no encontrado"))</f>
        <v/>
      </c>
      <c r="D94" s="24"/>
      <c r="E94" s="25"/>
      <c r="F94" s="24"/>
    </row>
    <row r="95" customFormat="false" ht="15" hidden="false" customHeight="false" outlineLevel="0" collapsed="false">
      <c r="A95" s="27"/>
      <c r="B95" s="24"/>
      <c r="C95" s="28" t="str">
        <f aca="false">IF(B95="","",IFERROR(INDEX(Productos!$B$5:$B$16,MATCH(B95,Productos!$A$5:$A$16,0)),"Código no encontrado"))</f>
        <v/>
      </c>
      <c r="D95" s="24"/>
      <c r="E95" s="25"/>
      <c r="F95" s="24"/>
    </row>
    <row r="96" customFormat="false" ht="15" hidden="false" customHeight="false" outlineLevel="0" collapsed="false">
      <c r="A96" s="27"/>
      <c r="B96" s="24"/>
      <c r="C96" s="28" t="str">
        <f aca="false">IF(B96="","",IFERROR(INDEX(Productos!$B$5:$B$16,MATCH(B96,Productos!$A$5:$A$16,0)),"Código no encontrado"))</f>
        <v/>
      </c>
      <c r="D96" s="24"/>
      <c r="E96" s="25"/>
      <c r="F96" s="24"/>
    </row>
    <row r="97" customFormat="false" ht="15" hidden="false" customHeight="false" outlineLevel="0" collapsed="false">
      <c r="A97" s="27"/>
      <c r="B97" s="24"/>
      <c r="C97" s="28" t="str">
        <f aca="false">IF(B97="","",IFERROR(INDEX(Productos!$B$5:$B$16,MATCH(B97,Productos!$A$5:$A$16,0)),"Código no encontrado"))</f>
        <v/>
      </c>
      <c r="D97" s="24"/>
      <c r="E97" s="25"/>
      <c r="F97" s="24"/>
    </row>
    <row r="98" customFormat="false" ht="15" hidden="false" customHeight="false" outlineLevel="0" collapsed="false">
      <c r="A98" s="27"/>
      <c r="B98" s="24"/>
      <c r="C98" s="28" t="str">
        <f aca="false">IF(B98="","",IFERROR(INDEX(Productos!$B$5:$B$16,MATCH(B98,Productos!$A$5:$A$16,0)),"Código no encontrado"))</f>
        <v/>
      </c>
      <c r="D98" s="24"/>
      <c r="E98" s="25"/>
      <c r="F98" s="24"/>
    </row>
    <row r="99" customFormat="false" ht="15" hidden="false" customHeight="false" outlineLevel="0" collapsed="false">
      <c r="A99" s="27"/>
      <c r="B99" s="24"/>
      <c r="C99" s="28" t="str">
        <f aca="false">IF(B99="","",IFERROR(INDEX(Productos!$B$5:$B$16,MATCH(B99,Productos!$A$5:$A$16,0)),"Código no encontrado"))</f>
        <v/>
      </c>
      <c r="D99" s="24"/>
      <c r="E99" s="25"/>
      <c r="F99" s="24"/>
    </row>
    <row r="100" customFormat="false" ht="15" hidden="false" customHeight="false" outlineLevel="0" collapsed="false">
      <c r="A100" s="27"/>
      <c r="B100" s="24"/>
      <c r="C100" s="28" t="str">
        <f aca="false">IF(B100="","",IFERROR(INDEX(Productos!$B$5:$B$16,MATCH(B100,Productos!$A$5:$A$16,0)),"Código no encontrado"))</f>
        <v/>
      </c>
      <c r="D100" s="24"/>
      <c r="E100" s="25"/>
      <c r="F100" s="24"/>
    </row>
    <row r="101" customFormat="false" ht="15" hidden="false" customHeight="false" outlineLevel="0" collapsed="false">
      <c r="A101" s="27"/>
      <c r="B101" s="24"/>
      <c r="C101" s="28" t="str">
        <f aca="false">IF(B101="","",IFERROR(INDEX(Productos!$B$5:$B$16,MATCH(B101,Productos!$A$5:$A$16,0)),"Código no encontrado"))</f>
        <v/>
      </c>
      <c r="D101" s="24"/>
      <c r="E101" s="25"/>
      <c r="F101" s="24"/>
    </row>
    <row r="102" customFormat="false" ht="15" hidden="false" customHeight="false" outlineLevel="0" collapsed="false">
      <c r="A102" s="27"/>
      <c r="B102" s="24"/>
      <c r="C102" s="28" t="str">
        <f aca="false">IF(B102="","",IFERROR(INDEX(Productos!$B$5:$B$16,MATCH(B102,Productos!$A$5:$A$16,0)),"Código no encontrado"))</f>
        <v/>
      </c>
      <c r="D102" s="24"/>
      <c r="E102" s="25"/>
      <c r="F102" s="24"/>
    </row>
    <row r="103" customFormat="false" ht="15" hidden="false" customHeight="false" outlineLevel="0" collapsed="false">
      <c r="A103" s="27"/>
      <c r="B103" s="24"/>
      <c r="C103" s="28" t="str">
        <f aca="false">IF(B103="","",IFERROR(INDEX(Productos!$B$5:$B$16,MATCH(B103,Productos!$A$5:$A$16,0)),"Código no encontrado"))</f>
        <v/>
      </c>
      <c r="D103" s="24"/>
      <c r="E103" s="25"/>
      <c r="F103" s="24"/>
    </row>
    <row r="104" customFormat="false" ht="15" hidden="false" customHeight="false" outlineLevel="0" collapsed="false">
      <c r="A104" s="27"/>
      <c r="B104" s="24"/>
      <c r="C104" s="28" t="str">
        <f aca="false">IF(B104="","",IFERROR(INDEX(Productos!$B$5:$B$16,MATCH(B104,Productos!$A$5:$A$16,0)),"Código no encontrado"))</f>
        <v/>
      </c>
      <c r="D104" s="24"/>
      <c r="E104" s="25"/>
      <c r="F104" s="24"/>
    </row>
    <row r="105" customFormat="false" ht="15" hidden="false" customHeight="false" outlineLevel="0" collapsed="false">
      <c r="A105" s="27"/>
      <c r="B105" s="24"/>
      <c r="C105" s="28" t="str">
        <f aca="false">IF(B105="","",IFERROR(INDEX(Productos!$B$5:$B$16,MATCH(B105,Productos!$A$5:$A$16,0)),"Código no encontrado"))</f>
        <v/>
      </c>
      <c r="D105" s="24"/>
      <c r="E105" s="25"/>
      <c r="F105" s="24"/>
    </row>
    <row r="106" customFormat="false" ht="15" hidden="false" customHeight="false" outlineLevel="0" collapsed="false">
      <c r="A106" s="27"/>
      <c r="B106" s="24"/>
      <c r="C106" s="28" t="str">
        <f aca="false">IF(B106="","",IFERROR(INDEX(Productos!$B$5:$B$16,MATCH(B106,Productos!$A$5:$A$16,0)),"Código no encontrado"))</f>
        <v/>
      </c>
      <c r="D106" s="24"/>
      <c r="E106" s="25"/>
      <c r="F106" s="24"/>
    </row>
    <row r="107" customFormat="false" ht="15" hidden="false" customHeight="false" outlineLevel="0" collapsed="false">
      <c r="A107" s="27"/>
      <c r="B107" s="24"/>
      <c r="C107" s="28" t="str">
        <f aca="false">IF(B107="","",IFERROR(INDEX(Productos!$B$5:$B$16,MATCH(B107,Productos!$A$5:$A$16,0)),"Código no encontrado"))</f>
        <v/>
      </c>
      <c r="D107" s="24"/>
      <c r="E107" s="25"/>
      <c r="F107" s="24"/>
    </row>
    <row r="108" customFormat="false" ht="15" hidden="false" customHeight="false" outlineLevel="0" collapsed="false">
      <c r="A108" s="27"/>
      <c r="B108" s="24"/>
      <c r="C108" s="28" t="str">
        <f aca="false">IF(B108="","",IFERROR(INDEX(Productos!$B$5:$B$16,MATCH(B108,Productos!$A$5:$A$16,0)),"Código no encontrado"))</f>
        <v/>
      </c>
      <c r="D108" s="24"/>
      <c r="E108" s="25"/>
      <c r="F108" s="24"/>
    </row>
    <row r="109" customFormat="false" ht="15" hidden="false" customHeight="false" outlineLevel="0" collapsed="false">
      <c r="A109" s="27"/>
      <c r="B109" s="24"/>
      <c r="C109" s="28" t="str">
        <f aca="false">IF(B109="","",IFERROR(INDEX(Productos!$B$5:$B$16,MATCH(B109,Productos!$A$5:$A$16,0)),"Código no encontrado"))</f>
        <v/>
      </c>
      <c r="D109" s="24"/>
      <c r="E109" s="25"/>
      <c r="F109" s="24"/>
    </row>
    <row r="110" customFormat="false" ht="15" hidden="false" customHeight="false" outlineLevel="0" collapsed="false">
      <c r="A110" s="27"/>
      <c r="B110" s="24"/>
      <c r="C110" s="28" t="str">
        <f aca="false">IF(B110="","",IFERROR(INDEX(Productos!$B$5:$B$16,MATCH(B110,Productos!$A$5:$A$16,0)),"Código no encontrado"))</f>
        <v/>
      </c>
      <c r="D110" s="24"/>
      <c r="E110" s="25"/>
      <c r="F110" s="24"/>
    </row>
    <row r="111" customFormat="false" ht="15" hidden="false" customHeight="false" outlineLevel="0" collapsed="false">
      <c r="A111" s="27"/>
      <c r="B111" s="24"/>
      <c r="C111" s="28" t="str">
        <f aca="false">IF(B111="","",IFERROR(INDEX(Productos!$B$5:$B$16,MATCH(B111,Productos!$A$5:$A$16,0)),"Código no encontrado"))</f>
        <v/>
      </c>
      <c r="D111" s="24"/>
      <c r="E111" s="25"/>
      <c r="F111" s="24"/>
    </row>
    <row r="112" customFormat="false" ht="15" hidden="false" customHeight="false" outlineLevel="0" collapsed="false">
      <c r="A112" s="27"/>
      <c r="B112" s="24"/>
      <c r="C112" s="28" t="str">
        <f aca="false">IF(B112="","",IFERROR(INDEX(Productos!$B$5:$B$16,MATCH(B112,Productos!$A$5:$A$16,0)),"Código no encontrado"))</f>
        <v/>
      </c>
      <c r="D112" s="24"/>
      <c r="E112" s="25"/>
      <c r="F112" s="24"/>
    </row>
    <row r="113" customFormat="false" ht="15" hidden="false" customHeight="false" outlineLevel="0" collapsed="false">
      <c r="A113" s="27"/>
      <c r="B113" s="24"/>
      <c r="C113" s="28" t="str">
        <f aca="false">IF(B113="","",IFERROR(INDEX(Productos!$B$5:$B$16,MATCH(B113,Productos!$A$5:$A$16,0)),"Código no encontrado"))</f>
        <v/>
      </c>
      <c r="D113" s="24"/>
      <c r="E113" s="25"/>
      <c r="F113" s="24"/>
    </row>
    <row r="114" customFormat="false" ht="15" hidden="false" customHeight="false" outlineLevel="0" collapsed="false">
      <c r="A114" s="27"/>
      <c r="B114" s="24"/>
      <c r="C114" s="28" t="str">
        <f aca="false">IF(B114="","",IFERROR(INDEX(Productos!$B$5:$B$16,MATCH(B114,Productos!$A$5:$A$16,0)),"Código no encontrado"))</f>
        <v/>
      </c>
      <c r="D114" s="24"/>
      <c r="E114" s="25"/>
      <c r="F114" s="24"/>
    </row>
    <row r="115" customFormat="false" ht="15" hidden="false" customHeight="false" outlineLevel="0" collapsed="false">
      <c r="A115" s="27"/>
      <c r="B115" s="24"/>
      <c r="C115" s="28" t="str">
        <f aca="false">IF(B115="","",IFERROR(INDEX(Productos!$B$5:$B$16,MATCH(B115,Productos!$A$5:$A$16,0)),"Código no encontrado"))</f>
        <v/>
      </c>
      <c r="D115" s="24"/>
      <c r="E115" s="25"/>
      <c r="F115" s="24"/>
    </row>
    <row r="116" customFormat="false" ht="15" hidden="false" customHeight="false" outlineLevel="0" collapsed="false">
      <c r="A116" s="27"/>
      <c r="B116" s="24"/>
      <c r="C116" s="28" t="str">
        <f aca="false">IF(B116="","",IFERROR(INDEX(Productos!$B$5:$B$16,MATCH(B116,Productos!$A$5:$A$16,0)),"Código no encontrado"))</f>
        <v/>
      </c>
      <c r="D116" s="24"/>
      <c r="E116" s="25"/>
      <c r="F116" s="24"/>
    </row>
    <row r="117" customFormat="false" ht="15" hidden="false" customHeight="false" outlineLevel="0" collapsed="false">
      <c r="A117" s="27"/>
      <c r="B117" s="24"/>
      <c r="C117" s="28" t="str">
        <f aca="false">IF(B117="","",IFERROR(INDEX(Productos!$B$5:$B$16,MATCH(B117,Productos!$A$5:$A$16,0)),"Código no encontrado"))</f>
        <v/>
      </c>
      <c r="D117" s="24"/>
      <c r="E117" s="25"/>
      <c r="F117" s="24"/>
    </row>
    <row r="118" customFormat="false" ht="15" hidden="false" customHeight="false" outlineLevel="0" collapsed="false">
      <c r="A118" s="27"/>
      <c r="B118" s="24"/>
      <c r="C118" s="28" t="str">
        <f aca="false">IF(B118="","",IFERROR(INDEX(Productos!$B$5:$B$16,MATCH(B118,Productos!$A$5:$A$16,0)),"Código no encontrado"))</f>
        <v/>
      </c>
      <c r="D118" s="24"/>
      <c r="E118" s="25"/>
      <c r="F118" s="24"/>
    </row>
    <row r="119" customFormat="false" ht="15" hidden="false" customHeight="false" outlineLevel="0" collapsed="false">
      <c r="A119" s="27"/>
      <c r="B119" s="24"/>
      <c r="C119" s="28" t="str">
        <f aca="false">IF(B119="","",IFERROR(INDEX(Productos!$B$5:$B$16,MATCH(B119,Productos!$A$5:$A$16,0)),"Código no encontrado"))</f>
        <v/>
      </c>
      <c r="D119" s="24"/>
      <c r="E119" s="25"/>
      <c r="F119" s="24"/>
    </row>
    <row r="120" customFormat="false" ht="15" hidden="false" customHeight="false" outlineLevel="0" collapsed="false">
      <c r="A120" s="27"/>
      <c r="B120" s="24"/>
      <c r="C120" s="28" t="str">
        <f aca="false">IF(B120="","",IFERROR(INDEX(Productos!$B$5:$B$16,MATCH(B120,Productos!$A$5:$A$16,0)),"Código no encontrado"))</f>
        <v/>
      </c>
      <c r="D120" s="24"/>
      <c r="E120" s="25"/>
      <c r="F120" s="24"/>
    </row>
    <row r="121" customFormat="false" ht="15" hidden="false" customHeight="false" outlineLevel="0" collapsed="false">
      <c r="A121" s="27"/>
      <c r="B121" s="24"/>
      <c r="C121" s="28" t="str">
        <f aca="false">IF(B121="","",IFERROR(INDEX(Productos!$B$5:$B$16,MATCH(B121,Productos!$A$5:$A$16,0)),"Código no encontrado"))</f>
        <v/>
      </c>
      <c r="D121" s="24"/>
      <c r="E121" s="25"/>
      <c r="F121" s="24"/>
    </row>
    <row r="122" customFormat="false" ht="15" hidden="false" customHeight="false" outlineLevel="0" collapsed="false">
      <c r="A122" s="27"/>
      <c r="B122" s="24"/>
      <c r="C122" s="28" t="str">
        <f aca="false">IF(B122="","",IFERROR(INDEX(Productos!$B$5:$B$16,MATCH(B122,Productos!$A$5:$A$16,0)),"Código no encontrado"))</f>
        <v/>
      </c>
      <c r="D122" s="24"/>
      <c r="E122" s="25"/>
      <c r="F122" s="24"/>
    </row>
    <row r="123" customFormat="false" ht="15" hidden="false" customHeight="false" outlineLevel="0" collapsed="false">
      <c r="A123" s="27"/>
      <c r="B123" s="24"/>
      <c r="C123" s="28" t="str">
        <f aca="false">IF(B123="","",IFERROR(INDEX(Productos!$B$5:$B$16,MATCH(B123,Productos!$A$5:$A$16,0)),"Código no encontrado"))</f>
        <v/>
      </c>
      <c r="D123" s="24"/>
      <c r="E123" s="25"/>
      <c r="F123" s="24"/>
    </row>
    <row r="124" customFormat="false" ht="15" hidden="false" customHeight="false" outlineLevel="0" collapsed="false">
      <c r="A124" s="27"/>
      <c r="B124" s="24"/>
      <c r="C124" s="28" t="str">
        <f aca="false">IF(B124="","",IFERROR(INDEX(Productos!$B$5:$B$16,MATCH(B124,Productos!$A$5:$A$16,0)),"Código no encontrado"))</f>
        <v/>
      </c>
      <c r="D124" s="24"/>
      <c r="E124" s="25"/>
      <c r="F124" s="24"/>
    </row>
    <row r="125" customFormat="false" ht="15" hidden="false" customHeight="false" outlineLevel="0" collapsed="false">
      <c r="A125" s="27"/>
      <c r="B125" s="24"/>
      <c r="C125" s="28" t="str">
        <f aca="false">IF(B125="","",IFERROR(INDEX(Productos!$B$5:$B$16,MATCH(B125,Productos!$A$5:$A$16,0)),"Código no encontrado"))</f>
        <v/>
      </c>
      <c r="D125" s="24"/>
      <c r="E125" s="25"/>
      <c r="F125" s="24"/>
    </row>
    <row r="126" customFormat="false" ht="15" hidden="false" customHeight="false" outlineLevel="0" collapsed="false">
      <c r="A126" s="27"/>
      <c r="B126" s="24"/>
      <c r="C126" s="28" t="str">
        <f aca="false">IF(B126="","",IFERROR(INDEX(Productos!$B$5:$B$16,MATCH(B126,Productos!$A$5:$A$16,0)),"Código no encontrado"))</f>
        <v/>
      </c>
      <c r="D126" s="24"/>
      <c r="E126" s="25"/>
      <c r="F126" s="24"/>
    </row>
    <row r="127" customFormat="false" ht="15" hidden="false" customHeight="false" outlineLevel="0" collapsed="false">
      <c r="A127" s="27"/>
      <c r="B127" s="24"/>
      <c r="C127" s="28" t="str">
        <f aca="false">IF(B127="","",IFERROR(INDEX(Productos!$B$5:$B$16,MATCH(B127,Productos!$A$5:$A$16,0)),"Código no encontrado"))</f>
        <v/>
      </c>
      <c r="D127" s="24"/>
      <c r="E127" s="25"/>
      <c r="F127" s="24"/>
    </row>
    <row r="128" customFormat="false" ht="15" hidden="false" customHeight="false" outlineLevel="0" collapsed="false">
      <c r="A128" s="27"/>
      <c r="B128" s="24"/>
      <c r="C128" s="28" t="str">
        <f aca="false">IF(B128="","",IFERROR(INDEX(Productos!$B$5:$B$16,MATCH(B128,Productos!$A$5:$A$16,0)),"Código no encontrado"))</f>
        <v/>
      </c>
      <c r="D128" s="24"/>
      <c r="E128" s="25"/>
      <c r="F128" s="24"/>
    </row>
    <row r="129" customFormat="false" ht="15" hidden="false" customHeight="false" outlineLevel="0" collapsed="false">
      <c r="A129" s="27"/>
      <c r="B129" s="24"/>
      <c r="C129" s="28" t="str">
        <f aca="false">IF(B129="","",IFERROR(INDEX(Productos!$B$5:$B$16,MATCH(B129,Productos!$A$5:$A$16,0)),"Código no encontrado"))</f>
        <v/>
      </c>
      <c r="D129" s="24"/>
      <c r="E129" s="25"/>
      <c r="F129" s="24"/>
    </row>
    <row r="130" customFormat="false" ht="15" hidden="false" customHeight="false" outlineLevel="0" collapsed="false">
      <c r="A130" s="27"/>
      <c r="B130" s="24"/>
      <c r="C130" s="28" t="str">
        <f aca="false">IF(B130="","",IFERROR(INDEX(Productos!$B$5:$B$16,MATCH(B130,Productos!$A$5:$A$16,0)),"Código no encontrado"))</f>
        <v/>
      </c>
      <c r="D130" s="24"/>
      <c r="E130" s="25"/>
      <c r="F130" s="24"/>
    </row>
    <row r="131" customFormat="false" ht="15" hidden="false" customHeight="false" outlineLevel="0" collapsed="false">
      <c r="A131" s="27"/>
      <c r="B131" s="24"/>
      <c r="C131" s="28" t="str">
        <f aca="false">IF(B131="","",IFERROR(INDEX(Productos!$B$5:$B$16,MATCH(B131,Productos!$A$5:$A$16,0)),"Código no encontrado"))</f>
        <v/>
      </c>
      <c r="D131" s="24"/>
      <c r="E131" s="25"/>
      <c r="F131" s="24"/>
    </row>
    <row r="132" customFormat="false" ht="15" hidden="false" customHeight="false" outlineLevel="0" collapsed="false">
      <c r="A132" s="27"/>
      <c r="B132" s="24"/>
      <c r="C132" s="28" t="str">
        <f aca="false">IF(B132="","",IFERROR(INDEX(Productos!$B$5:$B$16,MATCH(B132,Productos!$A$5:$A$16,0)),"Código no encontrado"))</f>
        <v/>
      </c>
      <c r="D132" s="24"/>
      <c r="E132" s="25"/>
      <c r="F132" s="24"/>
    </row>
    <row r="133" customFormat="false" ht="15" hidden="false" customHeight="false" outlineLevel="0" collapsed="false">
      <c r="A133" s="27"/>
      <c r="B133" s="24"/>
      <c r="C133" s="28" t="str">
        <f aca="false">IF(B133="","",IFERROR(INDEX(Productos!$B$5:$B$16,MATCH(B133,Productos!$A$5:$A$16,0)),"Código no encontrado"))</f>
        <v/>
      </c>
      <c r="D133" s="24"/>
      <c r="E133" s="25"/>
      <c r="F133" s="24"/>
    </row>
    <row r="134" customFormat="false" ht="15" hidden="false" customHeight="false" outlineLevel="0" collapsed="false">
      <c r="A134" s="27"/>
      <c r="B134" s="24"/>
      <c r="C134" s="28" t="str">
        <f aca="false">IF(B134="","",IFERROR(INDEX(Productos!$B$5:$B$16,MATCH(B134,Productos!$A$5:$A$16,0)),"Código no encontrado"))</f>
        <v/>
      </c>
      <c r="D134" s="24"/>
      <c r="E134" s="25"/>
      <c r="F134" s="24"/>
    </row>
    <row r="135" customFormat="false" ht="15" hidden="false" customHeight="false" outlineLevel="0" collapsed="false">
      <c r="A135" s="27"/>
      <c r="B135" s="24"/>
      <c r="C135" s="28" t="str">
        <f aca="false">IF(B135="","",IFERROR(INDEX(Productos!$B$5:$B$16,MATCH(B135,Productos!$A$5:$A$16,0)),"Código no encontrado"))</f>
        <v/>
      </c>
      <c r="D135" s="24"/>
      <c r="E135" s="25"/>
      <c r="F135" s="24"/>
    </row>
    <row r="136" customFormat="false" ht="15" hidden="false" customHeight="false" outlineLevel="0" collapsed="false">
      <c r="A136" s="27"/>
      <c r="B136" s="24"/>
      <c r="C136" s="28" t="str">
        <f aca="false">IF(B136="","",IFERROR(INDEX(Productos!$B$5:$B$16,MATCH(B136,Productos!$A$5:$A$16,0)),"Código no encontrado"))</f>
        <v/>
      </c>
      <c r="D136" s="24"/>
      <c r="E136" s="25"/>
      <c r="F136" s="24"/>
    </row>
    <row r="137" customFormat="false" ht="15" hidden="false" customHeight="false" outlineLevel="0" collapsed="false">
      <c r="A137" s="27"/>
      <c r="B137" s="24"/>
      <c r="C137" s="28" t="str">
        <f aca="false">IF(B137="","",IFERROR(INDEX(Productos!$B$5:$B$16,MATCH(B137,Productos!$A$5:$A$16,0)),"Código no encontrado"))</f>
        <v/>
      </c>
      <c r="D137" s="24"/>
      <c r="E137" s="25"/>
      <c r="F137" s="24"/>
    </row>
    <row r="138" customFormat="false" ht="15" hidden="false" customHeight="false" outlineLevel="0" collapsed="false">
      <c r="A138" s="27"/>
      <c r="B138" s="24"/>
      <c r="C138" s="28" t="str">
        <f aca="false">IF(B138="","",IFERROR(INDEX(Productos!$B$5:$B$16,MATCH(B138,Productos!$A$5:$A$16,0)),"Código no encontrado"))</f>
        <v/>
      </c>
      <c r="D138" s="24"/>
      <c r="E138" s="25"/>
      <c r="F138" s="24"/>
    </row>
    <row r="139" customFormat="false" ht="15" hidden="false" customHeight="false" outlineLevel="0" collapsed="false">
      <c r="A139" s="27"/>
      <c r="B139" s="24"/>
      <c r="C139" s="28" t="str">
        <f aca="false">IF(B139="","",IFERROR(INDEX(Productos!$B$5:$B$16,MATCH(B139,Productos!$A$5:$A$16,0)),"Código no encontrado"))</f>
        <v/>
      </c>
      <c r="D139" s="24"/>
      <c r="E139" s="25"/>
      <c r="F139" s="24"/>
    </row>
    <row r="140" customFormat="false" ht="15" hidden="false" customHeight="false" outlineLevel="0" collapsed="false">
      <c r="A140" s="27"/>
      <c r="B140" s="24"/>
      <c r="C140" s="28" t="str">
        <f aca="false">IF(B140="","",IFERROR(INDEX(Productos!$B$5:$B$16,MATCH(B140,Productos!$A$5:$A$16,0)),"Código no encontrado"))</f>
        <v/>
      </c>
      <c r="D140" s="24"/>
      <c r="E140" s="25"/>
      <c r="F140" s="24"/>
    </row>
    <row r="141" customFormat="false" ht="15" hidden="false" customHeight="false" outlineLevel="0" collapsed="false">
      <c r="A141" s="27"/>
      <c r="B141" s="24"/>
      <c r="C141" s="28" t="str">
        <f aca="false">IF(B141="","",IFERROR(INDEX(Productos!$B$5:$B$16,MATCH(B141,Productos!$A$5:$A$16,0)),"Código no encontrado"))</f>
        <v/>
      </c>
      <c r="D141" s="24"/>
      <c r="E141" s="25"/>
      <c r="F141" s="24"/>
    </row>
    <row r="142" customFormat="false" ht="15" hidden="false" customHeight="false" outlineLevel="0" collapsed="false">
      <c r="A142" s="27"/>
      <c r="B142" s="24"/>
      <c r="C142" s="28" t="str">
        <f aca="false">IF(B142="","",IFERROR(INDEX(Productos!$B$5:$B$16,MATCH(B142,Productos!$A$5:$A$16,0)),"Código no encontrado"))</f>
        <v/>
      </c>
      <c r="D142" s="24"/>
      <c r="E142" s="25"/>
      <c r="F142" s="24"/>
    </row>
    <row r="143" customFormat="false" ht="15" hidden="false" customHeight="false" outlineLevel="0" collapsed="false">
      <c r="A143" s="27"/>
      <c r="B143" s="24"/>
      <c r="C143" s="28" t="str">
        <f aca="false">IF(B143="","",IFERROR(INDEX(Productos!$B$5:$B$16,MATCH(B143,Productos!$A$5:$A$16,0)),"Código no encontrado"))</f>
        <v/>
      </c>
      <c r="D143" s="24"/>
      <c r="E143" s="25"/>
      <c r="F143" s="24"/>
    </row>
    <row r="144" customFormat="false" ht="15" hidden="false" customHeight="false" outlineLevel="0" collapsed="false">
      <c r="A144" s="27"/>
      <c r="B144" s="24"/>
      <c r="C144" s="28" t="str">
        <f aca="false">IF(B144="","",IFERROR(INDEX(Productos!$B$5:$B$16,MATCH(B144,Productos!$A$5:$A$16,0)),"Código no encontrado"))</f>
        <v/>
      </c>
      <c r="D144" s="24"/>
      <c r="E144" s="25"/>
      <c r="F144" s="24"/>
    </row>
    <row r="145" customFormat="false" ht="15" hidden="false" customHeight="false" outlineLevel="0" collapsed="false">
      <c r="A145" s="27"/>
      <c r="B145" s="24"/>
      <c r="C145" s="28" t="str">
        <f aca="false">IF(B145="","",IFERROR(INDEX(Productos!$B$5:$B$16,MATCH(B145,Productos!$A$5:$A$16,0)),"Código no encontrado"))</f>
        <v/>
      </c>
      <c r="D145" s="24"/>
      <c r="E145" s="25"/>
      <c r="F145" s="24"/>
    </row>
    <row r="146" customFormat="false" ht="15" hidden="false" customHeight="false" outlineLevel="0" collapsed="false">
      <c r="A146" s="27"/>
      <c r="B146" s="24"/>
      <c r="C146" s="28" t="str">
        <f aca="false">IF(B146="","",IFERROR(INDEX(Productos!$B$5:$B$16,MATCH(B146,Productos!$A$5:$A$16,0)),"Código no encontrado"))</f>
        <v/>
      </c>
      <c r="D146" s="24"/>
      <c r="E146" s="25"/>
      <c r="F146" s="24"/>
    </row>
    <row r="147" customFormat="false" ht="15" hidden="false" customHeight="false" outlineLevel="0" collapsed="false">
      <c r="A147" s="27"/>
      <c r="B147" s="24"/>
      <c r="C147" s="28" t="str">
        <f aca="false">IF(B147="","",IFERROR(INDEX(Productos!$B$5:$B$16,MATCH(B147,Productos!$A$5:$A$16,0)),"Código no encontrado"))</f>
        <v/>
      </c>
      <c r="D147" s="24"/>
      <c r="E147" s="25"/>
      <c r="F147" s="24"/>
    </row>
    <row r="148" customFormat="false" ht="15" hidden="false" customHeight="false" outlineLevel="0" collapsed="false">
      <c r="A148" s="27"/>
      <c r="B148" s="24"/>
      <c r="C148" s="28" t="str">
        <f aca="false">IF(B148="","",IFERROR(INDEX(Productos!$B$5:$B$16,MATCH(B148,Productos!$A$5:$A$16,0)),"Código no encontrado"))</f>
        <v/>
      </c>
      <c r="D148" s="24"/>
      <c r="E148" s="25"/>
      <c r="F148" s="24"/>
    </row>
    <row r="149" customFormat="false" ht="15" hidden="false" customHeight="false" outlineLevel="0" collapsed="false">
      <c r="A149" s="27"/>
      <c r="B149" s="24"/>
      <c r="C149" s="28" t="str">
        <f aca="false">IF(B149="","",IFERROR(INDEX(Productos!$B$5:$B$16,MATCH(B149,Productos!$A$5:$A$16,0)),"Código no encontrado"))</f>
        <v/>
      </c>
      <c r="D149" s="24"/>
      <c r="E149" s="25"/>
      <c r="F149" s="24"/>
    </row>
    <row r="150" customFormat="false" ht="15" hidden="false" customHeight="false" outlineLevel="0" collapsed="false">
      <c r="A150" s="27"/>
      <c r="B150" s="24"/>
      <c r="C150" s="28" t="str">
        <f aca="false">IF(B150="","",IFERROR(INDEX(Productos!$B$5:$B$16,MATCH(B150,Productos!$A$5:$A$16,0)),"Código no encontrado"))</f>
        <v/>
      </c>
      <c r="D150" s="24"/>
      <c r="E150" s="25"/>
      <c r="F150" s="24"/>
    </row>
    <row r="151" customFormat="false" ht="15" hidden="false" customHeight="false" outlineLevel="0" collapsed="false">
      <c r="A151" s="27"/>
      <c r="B151" s="24"/>
      <c r="C151" s="28" t="str">
        <f aca="false">IF(B151="","",IFERROR(INDEX(Productos!$B$5:$B$16,MATCH(B151,Productos!$A$5:$A$16,0)),"Código no encontrado"))</f>
        <v/>
      </c>
      <c r="D151" s="24"/>
      <c r="E151" s="25"/>
      <c r="F151" s="24"/>
    </row>
    <row r="152" customFormat="false" ht="15" hidden="false" customHeight="false" outlineLevel="0" collapsed="false">
      <c r="A152" s="27"/>
      <c r="B152" s="24"/>
      <c r="C152" s="28" t="str">
        <f aca="false">IF(B152="","",IFERROR(INDEX(Productos!$B$5:$B$16,MATCH(B152,Productos!$A$5:$A$16,0)),"Código no encontrado"))</f>
        <v/>
      </c>
      <c r="D152" s="24"/>
      <c r="E152" s="25"/>
      <c r="F152" s="24"/>
    </row>
    <row r="153" customFormat="false" ht="15" hidden="false" customHeight="false" outlineLevel="0" collapsed="false">
      <c r="A153" s="27"/>
      <c r="B153" s="24"/>
      <c r="C153" s="28" t="str">
        <f aca="false">IF(B153="","",IFERROR(INDEX(Productos!$B$5:$B$16,MATCH(B153,Productos!$A$5:$A$16,0)),"Código no encontrado"))</f>
        <v/>
      </c>
      <c r="D153" s="24"/>
      <c r="E153" s="25"/>
      <c r="F153" s="24"/>
    </row>
    <row r="154" customFormat="false" ht="15" hidden="false" customHeight="false" outlineLevel="0" collapsed="false">
      <c r="A154" s="27"/>
      <c r="B154" s="24"/>
      <c r="C154" s="28" t="str">
        <f aca="false">IF(B154="","",IFERROR(INDEX(Productos!$B$5:$B$16,MATCH(B154,Productos!$A$5:$A$16,0)),"Código no encontrado"))</f>
        <v/>
      </c>
      <c r="D154" s="24"/>
      <c r="E154" s="25"/>
      <c r="F154" s="24"/>
    </row>
    <row r="155" customFormat="false" ht="15" hidden="false" customHeight="false" outlineLevel="0" collapsed="false">
      <c r="A155" s="27"/>
      <c r="B155" s="24"/>
      <c r="C155" s="28" t="str">
        <f aca="false">IF(B155="","",IFERROR(INDEX(Productos!$B$5:$B$16,MATCH(B155,Productos!$A$5:$A$16,0)),"Código no encontrado"))</f>
        <v/>
      </c>
      <c r="D155" s="24"/>
      <c r="E155" s="25"/>
      <c r="F155" s="24"/>
    </row>
    <row r="156" customFormat="false" ht="15" hidden="false" customHeight="false" outlineLevel="0" collapsed="false">
      <c r="A156" s="27"/>
      <c r="B156" s="24"/>
      <c r="C156" s="28" t="str">
        <f aca="false">IF(B156="","",IFERROR(INDEX(Productos!$B$5:$B$16,MATCH(B156,Productos!$A$5:$A$16,0)),"Código no encontrado"))</f>
        <v/>
      </c>
      <c r="D156" s="24"/>
      <c r="E156" s="25"/>
      <c r="F156" s="24"/>
    </row>
    <row r="157" customFormat="false" ht="15" hidden="false" customHeight="false" outlineLevel="0" collapsed="false">
      <c r="A157" s="27"/>
      <c r="B157" s="24"/>
      <c r="C157" s="28" t="str">
        <f aca="false">IF(B157="","",IFERROR(INDEX(Productos!$B$5:$B$16,MATCH(B157,Productos!$A$5:$A$16,0)),"Código no encontrado"))</f>
        <v/>
      </c>
      <c r="D157" s="24"/>
      <c r="E157" s="25"/>
      <c r="F157" s="24"/>
    </row>
    <row r="158" customFormat="false" ht="15" hidden="false" customHeight="false" outlineLevel="0" collapsed="false">
      <c r="A158" s="27"/>
      <c r="B158" s="24"/>
      <c r="C158" s="28" t="str">
        <f aca="false">IF(B158="","",IFERROR(INDEX(Productos!$B$5:$B$16,MATCH(B158,Productos!$A$5:$A$16,0)),"Código no encontrado"))</f>
        <v/>
      </c>
      <c r="D158" s="24"/>
      <c r="E158" s="25"/>
      <c r="F158" s="24"/>
    </row>
    <row r="159" customFormat="false" ht="15" hidden="false" customHeight="false" outlineLevel="0" collapsed="false">
      <c r="A159" s="27"/>
      <c r="B159" s="24"/>
      <c r="C159" s="28" t="str">
        <f aca="false">IF(B159="","",IFERROR(INDEX(Productos!$B$5:$B$16,MATCH(B159,Productos!$A$5:$A$16,0)),"Código no encontrado"))</f>
        <v/>
      </c>
      <c r="D159" s="24"/>
      <c r="E159" s="25"/>
      <c r="F159" s="24"/>
    </row>
    <row r="160" customFormat="false" ht="15" hidden="false" customHeight="false" outlineLevel="0" collapsed="false">
      <c r="A160" s="27"/>
      <c r="B160" s="24"/>
      <c r="C160" s="28" t="str">
        <f aca="false">IF(B160="","",IFERROR(INDEX(Productos!$B$5:$B$16,MATCH(B160,Productos!$A$5:$A$16,0)),"Código no encontrado"))</f>
        <v/>
      </c>
      <c r="D160" s="24"/>
      <c r="E160" s="25"/>
      <c r="F160" s="24"/>
    </row>
    <row r="161" customFormat="false" ht="15" hidden="false" customHeight="false" outlineLevel="0" collapsed="false">
      <c r="A161" s="27"/>
      <c r="B161" s="24"/>
      <c r="C161" s="28" t="str">
        <f aca="false">IF(B161="","",IFERROR(INDEX(Productos!$B$5:$B$16,MATCH(B161,Productos!$A$5:$A$16,0)),"Código no encontrado"))</f>
        <v/>
      </c>
      <c r="D161" s="24"/>
      <c r="E161" s="25"/>
      <c r="F161" s="24"/>
    </row>
    <row r="162" customFormat="false" ht="15" hidden="false" customHeight="false" outlineLevel="0" collapsed="false">
      <c r="A162" s="27"/>
      <c r="B162" s="24"/>
      <c r="C162" s="28" t="str">
        <f aca="false">IF(B162="","",IFERROR(INDEX(Productos!$B$5:$B$16,MATCH(B162,Productos!$A$5:$A$16,0)),"Código no encontrado"))</f>
        <v/>
      </c>
      <c r="D162" s="24"/>
      <c r="E162" s="25"/>
      <c r="F162" s="24"/>
    </row>
    <row r="163" customFormat="false" ht="15" hidden="false" customHeight="false" outlineLevel="0" collapsed="false">
      <c r="A163" s="27"/>
      <c r="B163" s="24"/>
      <c r="C163" s="28" t="str">
        <f aca="false">IF(B163="","",IFERROR(INDEX(Productos!$B$5:$B$16,MATCH(B163,Productos!$A$5:$A$16,0)),"Código no encontrado"))</f>
        <v/>
      </c>
      <c r="D163" s="24"/>
      <c r="E163" s="25"/>
      <c r="F163" s="24"/>
    </row>
    <row r="164" customFormat="false" ht="15" hidden="false" customHeight="false" outlineLevel="0" collapsed="false">
      <c r="A164" s="27"/>
      <c r="B164" s="24"/>
      <c r="C164" s="28" t="str">
        <f aca="false">IF(B164="","",IFERROR(INDEX(Productos!$B$5:$B$16,MATCH(B164,Productos!$A$5:$A$16,0)),"Código no encontrado"))</f>
        <v/>
      </c>
      <c r="D164" s="24"/>
      <c r="E164" s="25"/>
      <c r="F164" s="24"/>
    </row>
    <row r="165" customFormat="false" ht="15" hidden="false" customHeight="false" outlineLevel="0" collapsed="false">
      <c r="A165" s="27"/>
      <c r="B165" s="24"/>
      <c r="C165" s="28" t="str">
        <f aca="false">IF(B165="","",IFERROR(INDEX(Productos!$B$5:$B$16,MATCH(B165,Productos!$A$5:$A$16,0)),"Código no encontrado"))</f>
        <v/>
      </c>
      <c r="D165" s="24"/>
      <c r="E165" s="25"/>
      <c r="F165" s="24"/>
    </row>
    <row r="166" customFormat="false" ht="15" hidden="false" customHeight="false" outlineLevel="0" collapsed="false">
      <c r="A166" s="27"/>
      <c r="B166" s="24"/>
      <c r="C166" s="28" t="str">
        <f aca="false">IF(B166="","",IFERROR(INDEX(Productos!$B$5:$B$16,MATCH(B166,Productos!$A$5:$A$16,0)),"Código no encontrado"))</f>
        <v/>
      </c>
      <c r="D166" s="24"/>
      <c r="E166" s="25"/>
      <c r="F166" s="24"/>
    </row>
    <row r="167" customFormat="false" ht="15" hidden="false" customHeight="false" outlineLevel="0" collapsed="false">
      <c r="A167" s="27"/>
      <c r="B167" s="24"/>
      <c r="C167" s="28" t="str">
        <f aca="false">IF(B167="","",IFERROR(INDEX(Productos!$B$5:$B$16,MATCH(B167,Productos!$A$5:$A$16,0)),"Código no encontrado"))</f>
        <v/>
      </c>
      <c r="D167" s="24"/>
      <c r="E167" s="25"/>
      <c r="F167" s="24"/>
    </row>
    <row r="168" customFormat="false" ht="15" hidden="false" customHeight="false" outlineLevel="0" collapsed="false">
      <c r="A168" s="27"/>
      <c r="B168" s="24"/>
      <c r="C168" s="28" t="str">
        <f aca="false">IF(B168="","",IFERROR(INDEX(Productos!$B$5:$B$16,MATCH(B168,Productos!$A$5:$A$16,0)),"Código no encontrado"))</f>
        <v/>
      </c>
      <c r="D168" s="24"/>
      <c r="E168" s="25"/>
      <c r="F168" s="24"/>
    </row>
    <row r="169" customFormat="false" ht="15" hidden="false" customHeight="false" outlineLevel="0" collapsed="false">
      <c r="A169" s="27"/>
      <c r="B169" s="24"/>
      <c r="C169" s="28" t="str">
        <f aca="false">IF(B169="","",IFERROR(INDEX(Productos!$B$5:$B$16,MATCH(B169,Productos!$A$5:$A$16,0)),"Código no encontrado"))</f>
        <v/>
      </c>
      <c r="D169" s="24"/>
      <c r="E169" s="25"/>
      <c r="F169" s="24"/>
    </row>
    <row r="170" customFormat="false" ht="15" hidden="false" customHeight="false" outlineLevel="0" collapsed="false">
      <c r="A170" s="27"/>
      <c r="B170" s="24"/>
      <c r="C170" s="28" t="str">
        <f aca="false">IF(B170="","",IFERROR(INDEX(Productos!$B$5:$B$16,MATCH(B170,Productos!$A$5:$A$16,0)),"Código no encontrado"))</f>
        <v/>
      </c>
      <c r="D170" s="24"/>
      <c r="E170" s="25"/>
      <c r="F170" s="24"/>
    </row>
    <row r="171" customFormat="false" ht="15" hidden="false" customHeight="false" outlineLevel="0" collapsed="false">
      <c r="A171" s="27"/>
      <c r="B171" s="24"/>
      <c r="C171" s="28" t="str">
        <f aca="false">IF(B171="","",IFERROR(INDEX(Productos!$B$5:$B$16,MATCH(B171,Productos!$A$5:$A$16,0)),"Código no encontrado"))</f>
        <v/>
      </c>
      <c r="D171" s="24"/>
      <c r="E171" s="25"/>
      <c r="F171" s="24"/>
    </row>
    <row r="172" customFormat="false" ht="15" hidden="false" customHeight="false" outlineLevel="0" collapsed="false">
      <c r="A172" s="27"/>
      <c r="B172" s="24"/>
      <c r="C172" s="28" t="str">
        <f aca="false">IF(B172="","",IFERROR(INDEX(Productos!$B$5:$B$16,MATCH(B172,Productos!$A$5:$A$16,0)),"Código no encontrado"))</f>
        <v/>
      </c>
      <c r="D172" s="24"/>
      <c r="E172" s="25"/>
      <c r="F172" s="24"/>
    </row>
    <row r="173" customFormat="false" ht="15" hidden="false" customHeight="false" outlineLevel="0" collapsed="false">
      <c r="A173" s="27"/>
      <c r="B173" s="24"/>
      <c r="C173" s="28" t="str">
        <f aca="false">IF(B173="","",IFERROR(INDEX(Productos!$B$5:$B$16,MATCH(B173,Productos!$A$5:$A$16,0)),"Código no encontrado"))</f>
        <v/>
      </c>
      <c r="D173" s="24"/>
      <c r="E173" s="25"/>
      <c r="F173" s="24"/>
    </row>
    <row r="174" customFormat="false" ht="15" hidden="false" customHeight="false" outlineLevel="0" collapsed="false">
      <c r="A174" s="27"/>
      <c r="B174" s="24"/>
      <c r="C174" s="28" t="str">
        <f aca="false">IF(B174="","",IFERROR(INDEX(Productos!$B$5:$B$16,MATCH(B174,Productos!$A$5:$A$16,0)),"Código no encontrado"))</f>
        <v/>
      </c>
      <c r="D174" s="24"/>
      <c r="E174" s="25"/>
      <c r="F174" s="24"/>
    </row>
    <row r="175" customFormat="false" ht="15" hidden="false" customHeight="false" outlineLevel="0" collapsed="false">
      <c r="A175" s="27"/>
      <c r="B175" s="24"/>
      <c r="C175" s="28" t="str">
        <f aca="false">IF(B175="","",IFERROR(INDEX(Productos!$B$5:$B$16,MATCH(B175,Productos!$A$5:$A$16,0)),"Código no encontrado"))</f>
        <v/>
      </c>
      <c r="D175" s="24"/>
      <c r="E175" s="25"/>
      <c r="F175" s="24"/>
    </row>
    <row r="176" customFormat="false" ht="15" hidden="false" customHeight="false" outlineLevel="0" collapsed="false">
      <c r="A176" s="27"/>
      <c r="B176" s="24"/>
      <c r="C176" s="28" t="str">
        <f aca="false">IF(B176="","",IFERROR(INDEX(Productos!$B$5:$B$16,MATCH(B176,Productos!$A$5:$A$16,0)),"Código no encontrado"))</f>
        <v/>
      </c>
      <c r="D176" s="24"/>
      <c r="E176" s="25"/>
      <c r="F176" s="24"/>
    </row>
    <row r="177" customFormat="false" ht="15" hidden="false" customHeight="false" outlineLevel="0" collapsed="false">
      <c r="A177" s="27"/>
      <c r="B177" s="24"/>
      <c r="C177" s="28" t="str">
        <f aca="false">IF(B177="","",IFERROR(INDEX(Productos!$B$5:$B$16,MATCH(B177,Productos!$A$5:$A$16,0)),"Código no encontrado"))</f>
        <v/>
      </c>
      <c r="D177" s="24"/>
      <c r="E177" s="25"/>
      <c r="F177" s="24"/>
    </row>
    <row r="178" customFormat="false" ht="15" hidden="false" customHeight="false" outlineLevel="0" collapsed="false">
      <c r="A178" s="27"/>
      <c r="B178" s="24"/>
      <c r="C178" s="28" t="str">
        <f aca="false">IF(B178="","",IFERROR(INDEX(Productos!$B$5:$B$16,MATCH(B178,Productos!$A$5:$A$16,0)),"Código no encontrado"))</f>
        <v/>
      </c>
      <c r="D178" s="24"/>
      <c r="E178" s="25"/>
      <c r="F178" s="24"/>
    </row>
    <row r="179" customFormat="false" ht="15" hidden="false" customHeight="false" outlineLevel="0" collapsed="false">
      <c r="A179" s="27"/>
      <c r="B179" s="24"/>
      <c r="C179" s="28" t="str">
        <f aca="false">IF(B179="","",IFERROR(INDEX(Productos!$B$5:$B$16,MATCH(B179,Productos!$A$5:$A$16,0)),"Código no encontrado"))</f>
        <v/>
      </c>
      <c r="D179" s="24"/>
      <c r="E179" s="25"/>
      <c r="F179" s="24"/>
    </row>
    <row r="180" customFormat="false" ht="15" hidden="false" customHeight="false" outlineLevel="0" collapsed="false">
      <c r="A180" s="27"/>
      <c r="B180" s="24"/>
      <c r="C180" s="28" t="str">
        <f aca="false">IF(B180="","",IFERROR(INDEX(Productos!$B$5:$B$16,MATCH(B180,Productos!$A$5:$A$16,0)),"Código no encontrado"))</f>
        <v/>
      </c>
      <c r="D180" s="24"/>
      <c r="E180" s="25"/>
      <c r="F180" s="24"/>
    </row>
    <row r="181" customFormat="false" ht="15" hidden="false" customHeight="false" outlineLevel="0" collapsed="false">
      <c r="A181" s="27"/>
      <c r="B181" s="24"/>
      <c r="C181" s="28" t="str">
        <f aca="false">IF(B181="","",IFERROR(INDEX(Productos!$B$5:$B$16,MATCH(B181,Productos!$A$5:$A$16,0)),"Código no encontrado"))</f>
        <v/>
      </c>
      <c r="D181" s="24"/>
      <c r="E181" s="25"/>
      <c r="F181" s="24"/>
    </row>
    <row r="182" customFormat="false" ht="15" hidden="false" customHeight="false" outlineLevel="0" collapsed="false">
      <c r="A182" s="27"/>
      <c r="B182" s="24"/>
      <c r="C182" s="28" t="str">
        <f aca="false">IF(B182="","",IFERROR(INDEX(Productos!$B$5:$B$16,MATCH(B182,Productos!$A$5:$A$16,0)),"Código no encontrado"))</f>
        <v/>
      </c>
      <c r="D182" s="24"/>
      <c r="E182" s="25"/>
      <c r="F182" s="24"/>
    </row>
    <row r="183" customFormat="false" ht="15" hidden="false" customHeight="false" outlineLevel="0" collapsed="false">
      <c r="A183" s="27"/>
      <c r="B183" s="24"/>
      <c r="C183" s="28" t="str">
        <f aca="false">IF(B183="","",IFERROR(INDEX(Productos!$B$5:$B$16,MATCH(B183,Productos!$A$5:$A$16,0)),"Código no encontrado"))</f>
        <v/>
      </c>
      <c r="D183" s="24"/>
      <c r="E183" s="25"/>
      <c r="F183" s="24"/>
    </row>
    <row r="184" customFormat="false" ht="15" hidden="false" customHeight="false" outlineLevel="0" collapsed="false">
      <c r="A184" s="27"/>
      <c r="B184" s="24"/>
      <c r="C184" s="28" t="str">
        <f aca="false">IF(B184="","",IFERROR(INDEX(Productos!$B$5:$B$16,MATCH(B184,Productos!$A$5:$A$16,0)),"Código no encontrado"))</f>
        <v/>
      </c>
      <c r="D184" s="24"/>
      <c r="E184" s="25"/>
      <c r="F184" s="24"/>
    </row>
    <row r="185" customFormat="false" ht="15" hidden="false" customHeight="false" outlineLevel="0" collapsed="false">
      <c r="A185" s="27"/>
      <c r="B185" s="24"/>
      <c r="C185" s="28" t="str">
        <f aca="false">IF(B185="","",IFERROR(INDEX(Productos!$B$5:$B$16,MATCH(B185,Productos!$A$5:$A$16,0)),"Código no encontrado"))</f>
        <v/>
      </c>
      <c r="D185" s="24"/>
      <c r="E185" s="25"/>
      <c r="F185" s="24"/>
    </row>
    <row r="186" customFormat="false" ht="15" hidden="false" customHeight="false" outlineLevel="0" collapsed="false">
      <c r="A186" s="27"/>
      <c r="B186" s="24"/>
      <c r="C186" s="28" t="str">
        <f aca="false">IF(B186="","",IFERROR(INDEX(Productos!$B$5:$B$16,MATCH(B186,Productos!$A$5:$A$16,0)),"Código no encontrado"))</f>
        <v/>
      </c>
      <c r="D186" s="24"/>
      <c r="E186" s="25"/>
      <c r="F186" s="24"/>
    </row>
    <row r="187" customFormat="false" ht="15" hidden="false" customHeight="false" outlineLevel="0" collapsed="false">
      <c r="A187" s="27"/>
      <c r="B187" s="24"/>
      <c r="C187" s="28" t="str">
        <f aca="false">IF(B187="","",IFERROR(INDEX(Productos!$B$5:$B$16,MATCH(B187,Productos!$A$5:$A$16,0)),"Código no encontrado"))</f>
        <v/>
      </c>
      <c r="D187" s="24"/>
      <c r="E187" s="25"/>
      <c r="F187" s="24"/>
    </row>
    <row r="188" customFormat="false" ht="15" hidden="false" customHeight="false" outlineLevel="0" collapsed="false">
      <c r="A188" s="27"/>
      <c r="B188" s="24"/>
      <c r="C188" s="28" t="str">
        <f aca="false">IF(B188="","",IFERROR(INDEX(Productos!$B$5:$B$16,MATCH(B188,Productos!$A$5:$A$16,0)),"Código no encontrado"))</f>
        <v/>
      </c>
      <c r="D188" s="24"/>
      <c r="E188" s="25"/>
      <c r="F188" s="24"/>
    </row>
    <row r="189" customFormat="false" ht="15" hidden="false" customHeight="false" outlineLevel="0" collapsed="false">
      <c r="A189" s="27"/>
      <c r="B189" s="24"/>
      <c r="C189" s="28" t="str">
        <f aca="false">IF(B189="","",IFERROR(INDEX(Productos!$B$5:$B$16,MATCH(B189,Productos!$A$5:$A$16,0)),"Código no encontrado"))</f>
        <v/>
      </c>
      <c r="D189" s="24"/>
      <c r="E189" s="25"/>
      <c r="F189" s="24"/>
    </row>
    <row r="190" customFormat="false" ht="15" hidden="false" customHeight="false" outlineLevel="0" collapsed="false">
      <c r="A190" s="27"/>
      <c r="B190" s="24"/>
      <c r="C190" s="28" t="str">
        <f aca="false">IF(B190="","",IFERROR(INDEX(Productos!$B$5:$B$16,MATCH(B190,Productos!$A$5:$A$16,0)),"Código no encontrado"))</f>
        <v/>
      </c>
      <c r="D190" s="24"/>
      <c r="E190" s="25"/>
      <c r="F190" s="24"/>
    </row>
    <row r="191" customFormat="false" ht="15" hidden="false" customHeight="false" outlineLevel="0" collapsed="false">
      <c r="A191" s="27"/>
      <c r="B191" s="24"/>
      <c r="C191" s="28" t="str">
        <f aca="false">IF(B191="","",IFERROR(INDEX(Productos!$B$5:$B$16,MATCH(B191,Productos!$A$5:$A$16,0)),"Código no encontrado"))</f>
        <v/>
      </c>
      <c r="D191" s="24"/>
      <c r="E191" s="25"/>
      <c r="F191" s="24"/>
    </row>
    <row r="192" customFormat="false" ht="15" hidden="false" customHeight="false" outlineLevel="0" collapsed="false">
      <c r="A192" s="27"/>
      <c r="B192" s="24"/>
      <c r="C192" s="28" t="str">
        <f aca="false">IF(B192="","",IFERROR(INDEX(Productos!$B$5:$B$16,MATCH(B192,Productos!$A$5:$A$16,0)),"Código no encontrado"))</f>
        <v/>
      </c>
      <c r="D192" s="24"/>
      <c r="E192" s="25"/>
      <c r="F192" s="24"/>
    </row>
    <row r="193" customFormat="false" ht="15" hidden="false" customHeight="false" outlineLevel="0" collapsed="false">
      <c r="A193" s="27"/>
      <c r="B193" s="24"/>
      <c r="C193" s="28" t="str">
        <f aca="false">IF(B193="","",IFERROR(INDEX(Productos!$B$5:$B$16,MATCH(B193,Productos!$A$5:$A$16,0)),"Código no encontrado"))</f>
        <v/>
      </c>
      <c r="D193" s="24"/>
      <c r="E193" s="25"/>
      <c r="F193" s="24"/>
    </row>
    <row r="194" customFormat="false" ht="15" hidden="false" customHeight="false" outlineLevel="0" collapsed="false">
      <c r="A194" s="27"/>
      <c r="B194" s="24"/>
      <c r="C194" s="28" t="str">
        <f aca="false">IF(B194="","",IFERROR(INDEX(Productos!$B$5:$B$16,MATCH(B194,Productos!$A$5:$A$16,0)),"Código no encontrado"))</f>
        <v/>
      </c>
      <c r="D194" s="24"/>
      <c r="E194" s="25"/>
      <c r="F194" s="24"/>
    </row>
    <row r="195" customFormat="false" ht="15" hidden="false" customHeight="false" outlineLevel="0" collapsed="false">
      <c r="A195" s="27"/>
      <c r="B195" s="24"/>
      <c r="C195" s="28" t="str">
        <f aca="false">IF(B195="","",IFERROR(INDEX(Productos!$B$5:$B$16,MATCH(B195,Productos!$A$5:$A$16,0)),"Código no encontrado"))</f>
        <v/>
      </c>
      <c r="D195" s="24"/>
      <c r="E195" s="25"/>
      <c r="F195" s="24"/>
    </row>
    <row r="196" customFormat="false" ht="15" hidden="false" customHeight="false" outlineLevel="0" collapsed="false">
      <c r="A196" s="27"/>
      <c r="B196" s="24"/>
      <c r="C196" s="28" t="str">
        <f aca="false">IF(B196="","",IFERROR(INDEX(Productos!$B$5:$B$16,MATCH(B196,Productos!$A$5:$A$16,0)),"Código no encontrado"))</f>
        <v/>
      </c>
      <c r="D196" s="24"/>
      <c r="E196" s="25"/>
      <c r="F196" s="24"/>
    </row>
    <row r="197" customFormat="false" ht="15" hidden="false" customHeight="false" outlineLevel="0" collapsed="false">
      <c r="A197" s="27"/>
      <c r="B197" s="24"/>
      <c r="C197" s="28" t="str">
        <f aca="false">IF(B197="","",IFERROR(INDEX(Productos!$B$5:$B$16,MATCH(B197,Productos!$A$5:$A$16,0)),"Código no encontrado"))</f>
        <v/>
      </c>
      <c r="D197" s="24"/>
      <c r="E197" s="25"/>
      <c r="F197" s="24"/>
    </row>
    <row r="198" customFormat="false" ht="15" hidden="false" customHeight="false" outlineLevel="0" collapsed="false">
      <c r="A198" s="27"/>
      <c r="B198" s="24"/>
      <c r="C198" s="28" t="str">
        <f aca="false">IF(B198="","",IFERROR(INDEX(Productos!$B$5:$B$16,MATCH(B198,Productos!$A$5:$A$16,0)),"Código no encontrado"))</f>
        <v/>
      </c>
      <c r="D198" s="24"/>
      <c r="E198" s="25"/>
      <c r="F198" s="24"/>
    </row>
    <row r="199" customFormat="false" ht="15" hidden="false" customHeight="false" outlineLevel="0" collapsed="false">
      <c r="A199" s="27"/>
      <c r="B199" s="24"/>
      <c r="C199" s="28" t="str">
        <f aca="false">IF(B199="","",IFERROR(INDEX(Productos!$B$5:$B$16,MATCH(B199,Productos!$A$5:$A$16,0)),"Código no encontrado"))</f>
        <v/>
      </c>
      <c r="D199" s="24"/>
      <c r="E199" s="25"/>
      <c r="F199" s="24"/>
    </row>
    <row r="200" customFormat="false" ht="15" hidden="false" customHeight="false" outlineLevel="0" collapsed="false">
      <c r="A200" s="27"/>
      <c r="B200" s="24"/>
      <c r="C200" s="28" t="str">
        <f aca="false">IF(B200="","",IFERROR(INDEX(Productos!$B$5:$B$16,MATCH(B200,Productos!$A$5:$A$16,0)),"Código no encontrado"))</f>
        <v/>
      </c>
      <c r="D200" s="24"/>
      <c r="E200" s="25"/>
      <c r="F200" s="24"/>
    </row>
    <row r="201" customFormat="false" ht="15" hidden="false" customHeight="false" outlineLevel="0" collapsed="false">
      <c r="A201" s="27"/>
      <c r="B201" s="24"/>
      <c r="C201" s="28" t="str">
        <f aca="false">IF(B201="","",IFERROR(INDEX(Productos!$B$5:$B$16,MATCH(B201,Productos!$A$5:$A$16,0)),"Código no encontrado"))</f>
        <v/>
      </c>
      <c r="D201" s="24"/>
      <c r="E201" s="25"/>
      <c r="F201" s="24"/>
    </row>
    <row r="202" customFormat="false" ht="15" hidden="false" customHeight="false" outlineLevel="0" collapsed="false">
      <c r="A202" s="27"/>
      <c r="B202" s="24"/>
      <c r="C202" s="28" t="str">
        <f aca="false">IF(B202="","",IFERROR(INDEX(Productos!$B$5:$B$16,MATCH(B202,Productos!$A$5:$A$16,0)),"Código no encontrado"))</f>
        <v/>
      </c>
      <c r="D202" s="24"/>
      <c r="E202" s="25"/>
      <c r="F202" s="24"/>
    </row>
    <row r="203" customFormat="false" ht="15" hidden="false" customHeight="false" outlineLevel="0" collapsed="false">
      <c r="A203" s="27"/>
      <c r="B203" s="24"/>
      <c r="C203" s="28" t="str">
        <f aca="false">IF(B203="","",IFERROR(INDEX(Productos!$B$5:$B$16,MATCH(B203,Productos!$A$5:$A$16,0)),"Código no encontrado"))</f>
        <v/>
      </c>
      <c r="D203" s="24"/>
      <c r="E203" s="25"/>
      <c r="F203" s="24"/>
    </row>
    <row r="204" customFormat="false" ht="15" hidden="false" customHeight="false" outlineLevel="0" collapsed="false">
      <c r="A204" s="27"/>
      <c r="B204" s="24"/>
      <c r="C204" s="28" t="str">
        <f aca="false">IF(B204="","",IFERROR(INDEX(Productos!$B$5:$B$16,MATCH(B204,Productos!$A$5:$A$16,0)),"Código no encontrado"))</f>
        <v/>
      </c>
      <c r="D204" s="24"/>
      <c r="E204" s="25"/>
      <c r="F204" s="24"/>
    </row>
  </sheetData>
  <sheetProtection sheet="true" password="ee36" formatCells="false" formatColumns="false" formatRows="false" insertRows="false" selectLockedCells="true" selectUnlockedCells="true"/>
  <mergeCells count="2">
    <mergeCell ref="A2:F2"/>
    <mergeCell ref="A3:F3"/>
  </mergeCells>
  <dataValidations count="3">
    <dataValidation allowBlank="true" errorStyle="stop" operator="between" showDropDown="false" showErrorMessage="false" showInputMessage="false" sqref="B5:B204" type="list">
      <formula1>Productos!$A$5:$A$16</formula1>
      <formula2>0</formula2>
    </dataValidation>
    <dataValidation allowBlank="true" errorStyle="stop" operator="between" showDropDown="false" showErrorMessage="false" showInputMessage="false" sqref="D5:D204" type="list">
      <formula1>"Entrada,Salida"</formula1>
      <formula2>0</formula2>
    </dataValidation>
    <dataValidation allowBlank="true" error="Ingresa un número igual o mayor a 0." errorStyle="stop" errorTitle="Cantidad inválida" operator="greaterThanOrEqual" showDropDown="false" showErrorMessage="true" showInputMessage="false" sqref="E5:E204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3"/>
  </cols>
  <sheetData>
    <row r="2" customFormat="false" ht="25.5" hidden="false" customHeight="true" outlineLevel="0" collapsed="false">
      <c r="B2" s="8" t="s">
        <v>110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Moneda: " &amp; Configuracion!$C$8</f>
        <v> Moneda: Local</v>
      </c>
      <c r="C3" s="7"/>
      <c r="D3" s="7"/>
      <c r="E3" s="7"/>
      <c r="F3" s="7"/>
      <c r="G3" s="7"/>
      <c r="H3" s="7"/>
    </row>
    <row r="5" customFormat="false" ht="27.75" hidden="false" customHeight="true" outlineLevel="0" collapsed="false">
      <c r="B5" s="10" t="s">
        <v>100</v>
      </c>
      <c r="C5" s="10" t="s">
        <v>75</v>
      </c>
      <c r="D5" s="10" t="s">
        <v>76</v>
      </c>
      <c r="E5" s="10" t="s">
        <v>111</v>
      </c>
      <c r="F5" s="10" t="s">
        <v>112</v>
      </c>
      <c r="G5" s="10" t="s">
        <v>113</v>
      </c>
      <c r="H5" s="10" t="s">
        <v>114</v>
      </c>
      <c r="I5" s="10" t="s">
        <v>115</v>
      </c>
    </row>
    <row r="6" customFormat="false" ht="15" hidden="false" customHeight="false" outlineLevel="0" collapsed="false">
      <c r="B6" s="29" t="str">
        <f aca="false">IF(Productos!$A$5="","",Productos!$B$5)</f>
        <v>Audífonos Bluetooth</v>
      </c>
      <c r="C6" s="30" t="str">
        <f aca="false">IF(Productos!$A$5="","",Productos!$C$5)</f>
        <v>Electrónica</v>
      </c>
      <c r="D6" s="30" t="n">
        <f aca="false">IF(Productos!$A$5="","",Productos!$E$5)</f>
        <v>10</v>
      </c>
      <c r="E6" s="30" t="n">
        <f aca="false">SUMIFS(Movimientos!$E$5:$E$204,Movimientos!$B$5:$B$204,Productos!$A$5,Movimientos!$D$5:$D$204,"Entrada")</f>
        <v>20</v>
      </c>
      <c r="F6" s="30" t="n">
        <f aca="false">SUMIFS(Movimientos!$E$5:$E$204,Movimientos!$B$5:$B$204,Productos!$A$5,Movimientos!$D$5:$D$204,"Salida")</f>
        <v>13</v>
      </c>
      <c r="G6" s="31" t="n">
        <f aca="false">IF(Productos!$A$5="","",Productos!$H$5+E6-F6)</f>
        <v>47</v>
      </c>
      <c r="H6" s="29" t="n">
        <f aca="false">IF(Productos!$A$5="",0,G6*Productos!$F$5*Configuracion!$C$10)</f>
        <v>705</v>
      </c>
      <c r="I6" s="32" t="str">
        <f aca="false">IF(Productos!$A$5="","",IF(G6&lt;=D6,"Bajo stock","Normal"))</f>
        <v>Normal</v>
      </c>
    </row>
    <row r="7" customFormat="false" ht="15" hidden="false" customHeight="false" outlineLevel="0" collapsed="false">
      <c r="B7" s="29" t="str">
        <f aca="false">IF(Productos!$A$6="","",Productos!$B$6)</f>
        <v>Cargador USB-C</v>
      </c>
      <c r="C7" s="30" t="str">
        <f aca="false">IF(Productos!$A$6="","",Productos!$C$6)</f>
        <v>Electrónica</v>
      </c>
      <c r="D7" s="30" t="n">
        <f aca="false">IF(Productos!$A$6="","",Productos!$E$6)</f>
        <v>15</v>
      </c>
      <c r="E7" s="30" t="n">
        <f aca="false">SUMIFS(Movimientos!$E$5:$E$204,Movimientos!$B$5:$B$204,Productos!$A$6,Movimientos!$D$5:$D$204,"Entrada")</f>
        <v>50</v>
      </c>
      <c r="F7" s="30" t="n">
        <f aca="false">SUMIFS(Movimientos!$E$5:$E$204,Movimientos!$B$5:$B$204,Productos!$A$6,Movimientos!$D$5:$D$204,"Salida")</f>
        <v>15</v>
      </c>
      <c r="G7" s="31" t="n">
        <f aca="false">IF(Productos!$A$6="","",Productos!$H$6+E7-F7)</f>
        <v>95</v>
      </c>
      <c r="H7" s="29" t="n">
        <f aca="false">IF(Productos!$A$6="",0,G7*Productos!$F$6*Configuracion!$C$10)</f>
        <v>570</v>
      </c>
      <c r="I7" s="32" t="str">
        <f aca="false">IF(Productos!$A$6="","",IF(G7&lt;=D7,"Bajo stock","Normal"))</f>
        <v>Normal</v>
      </c>
    </row>
    <row r="8" customFormat="false" ht="15" hidden="false" customHeight="false" outlineLevel="0" collapsed="false">
      <c r="B8" s="29" t="str">
        <f aca="false">IF(Productos!$A$7="","",Productos!$B$7)</f>
        <v>Café molido 500g</v>
      </c>
      <c r="C8" s="30" t="str">
        <f aca="false">IF(Productos!$A$7="","",Productos!$C$7)</f>
        <v>Alimentos y bebidas</v>
      </c>
      <c r="D8" s="30" t="n">
        <f aca="false">IF(Productos!$A$7="","",Productos!$E$7)</f>
        <v>20</v>
      </c>
      <c r="E8" s="30" t="n">
        <f aca="false">SUMIFS(Movimientos!$E$5:$E$204,Movimientos!$B$5:$B$204,Productos!$A$7,Movimientos!$D$5:$D$204,"Entrada")</f>
        <v>40</v>
      </c>
      <c r="F8" s="30" t="n">
        <f aca="false">SUMIFS(Movimientos!$E$5:$E$204,Movimientos!$B$5:$B$204,Productos!$A$7,Movimientos!$D$5:$D$204,"Salida")</f>
        <v>12</v>
      </c>
      <c r="G8" s="31" t="n">
        <f aca="false">IF(Productos!$A$7="","",Productos!$H$7+E8-F8)</f>
        <v>108</v>
      </c>
      <c r="H8" s="29" t="n">
        <f aca="false">IF(Productos!$A$7="",0,G8*Productos!$F$7*Configuracion!$C$10)</f>
        <v>864</v>
      </c>
      <c r="I8" s="32" t="str">
        <f aca="false">IF(Productos!$A$7="","",IF(G8&lt;=D8,"Bajo stock","Normal"))</f>
        <v>Normal</v>
      </c>
    </row>
    <row r="9" customFormat="false" ht="15" hidden="false" customHeight="false" outlineLevel="0" collapsed="false">
      <c r="B9" s="29" t="str">
        <f aca="false">IF(Productos!$A$8="","",Productos!$B$8)</f>
        <v>Aceite vegetal 1L</v>
      </c>
      <c r="C9" s="30" t="str">
        <f aca="false">IF(Productos!$A$8="","",Productos!$C$8)</f>
        <v>Alimentos y bebidas</v>
      </c>
      <c r="D9" s="30" t="n">
        <f aca="false">IF(Productos!$A$8="","",Productos!$E$8)</f>
        <v>15</v>
      </c>
      <c r="E9" s="30" t="n">
        <f aca="false">SUMIFS(Movimientos!$E$5:$E$204,Movimientos!$B$5:$B$204,Productos!$A$8,Movimientos!$D$5:$D$204,"Entrada")</f>
        <v>10</v>
      </c>
      <c r="F9" s="30" t="n">
        <f aca="false">SUMIFS(Movimientos!$E$5:$E$204,Movimientos!$B$5:$B$204,Productos!$A$8,Movimientos!$D$5:$D$204,"Salida")</f>
        <v>0</v>
      </c>
      <c r="G9" s="31" t="n">
        <f aca="false">IF(Productos!$A$8="","",Productos!$H$8+E9-F9)</f>
        <v>22</v>
      </c>
      <c r="H9" s="29" t="n">
        <f aca="false">IF(Productos!$A$8="",0,G9*Productos!$F$8*Configuracion!$C$10)</f>
        <v>110</v>
      </c>
      <c r="I9" s="32" t="str">
        <f aca="false">IF(Productos!$A$8="","",IF(G9&lt;=D9,"Bajo stock","Normal"))</f>
        <v>Normal</v>
      </c>
    </row>
    <row r="10" customFormat="false" ht="15" hidden="false" customHeight="false" outlineLevel="0" collapsed="false">
      <c r="B10" s="29" t="str">
        <f aca="false">IF(Productos!$A$9="","",Productos!$B$9)</f>
        <v>Camiseta básica</v>
      </c>
      <c r="C10" s="30" t="str">
        <f aca="false">IF(Productos!$A$9="","",Productos!$C$9)</f>
        <v>Ropa y calzado</v>
      </c>
      <c r="D10" s="30" t="n">
        <f aca="false">IF(Productos!$A$9="","",Productos!$E$9)</f>
        <v>10</v>
      </c>
      <c r="E10" s="30" t="n">
        <f aca="false">SUMIFS(Movimientos!$E$5:$E$204,Movimientos!$B$5:$B$204,Productos!$A$9,Movimientos!$D$5:$D$204,"Entrada")</f>
        <v>0</v>
      </c>
      <c r="F10" s="30" t="n">
        <f aca="false">SUMIFS(Movimientos!$E$5:$E$204,Movimientos!$B$5:$B$204,Productos!$A$9,Movimientos!$D$5:$D$204,"Salida")</f>
        <v>5</v>
      </c>
      <c r="G10" s="31" t="n">
        <f aca="false">IF(Productos!$A$9="","",Productos!$H$9+E10-F10)</f>
        <v>20</v>
      </c>
      <c r="H10" s="29" t="n">
        <f aca="false">IF(Productos!$A$9="",0,G10*Productos!$F$9*Configuracion!$C$10)</f>
        <v>240</v>
      </c>
      <c r="I10" s="32" t="str">
        <f aca="false">IF(Productos!$A$9="","",IF(G10&lt;=D10,"Bajo stock","Normal"))</f>
        <v>Normal</v>
      </c>
    </row>
    <row r="11" customFormat="false" ht="15" hidden="false" customHeight="false" outlineLevel="0" collapsed="false">
      <c r="B11" s="29" t="str">
        <f aca="false">IF(Productos!$A$10="","",Productos!$B$10)</f>
        <v>Zapatillas urbanas</v>
      </c>
      <c r="C11" s="30" t="str">
        <f aca="false">IF(Productos!$A$10="","",Productos!$C$10)</f>
        <v>Ropa y calzado</v>
      </c>
      <c r="D11" s="30" t="n">
        <f aca="false">IF(Productos!$A$10="","",Productos!$E$10)</f>
        <v>5</v>
      </c>
      <c r="E11" s="30" t="n">
        <f aca="false">SUMIFS(Movimientos!$E$5:$E$204,Movimientos!$B$5:$B$204,Productos!$A$10,Movimientos!$D$5:$D$204,"Entrada")</f>
        <v>10</v>
      </c>
      <c r="F11" s="30" t="n">
        <f aca="false">SUMIFS(Movimientos!$E$5:$E$204,Movimientos!$B$5:$B$204,Productos!$A$10,Movimientos!$D$5:$D$204,"Salida")</f>
        <v>16</v>
      </c>
      <c r="G11" s="31" t="n">
        <f aca="false">IF(Productos!$A$10="","",Productos!$H$10+E11-F11)</f>
        <v>2</v>
      </c>
      <c r="H11" s="29" t="n">
        <f aca="false">IF(Productos!$A$10="",0,G11*Productos!$F$10*Configuracion!$C$10)</f>
        <v>70</v>
      </c>
      <c r="I11" s="32" t="str">
        <f aca="false">IF(Productos!$A$10="","",IF(G11&lt;=D11,"Bajo stock","Normal"))</f>
        <v>Bajo stock</v>
      </c>
    </row>
    <row r="12" customFormat="false" ht="15" hidden="false" customHeight="false" outlineLevel="0" collapsed="false">
      <c r="B12" s="29" t="str">
        <f aca="false">IF(Productos!$A$11="","",Productos!$B$11)</f>
        <v>Detergente 1L</v>
      </c>
      <c r="C12" s="30" t="str">
        <f aca="false">IF(Productos!$A$11="","",Productos!$C$11)</f>
        <v>Hogar y limpieza</v>
      </c>
      <c r="D12" s="30" t="n">
        <f aca="false">IF(Productos!$A$11="","",Productos!$E$11)</f>
        <v>12</v>
      </c>
      <c r="E12" s="30" t="n">
        <f aca="false">SUMIFS(Movimientos!$E$5:$E$204,Movimientos!$B$5:$B$204,Productos!$A$11,Movimientos!$D$5:$D$204,"Entrada")</f>
        <v>20</v>
      </c>
      <c r="F12" s="30" t="n">
        <f aca="false">SUMIFS(Movimientos!$E$5:$E$204,Movimientos!$B$5:$B$204,Productos!$A$11,Movimientos!$D$5:$D$204,"Salida")</f>
        <v>8</v>
      </c>
      <c r="G12" s="31" t="n">
        <f aca="false">IF(Productos!$A$11="","",Productos!$H$11+E12-F12)</f>
        <v>42</v>
      </c>
      <c r="H12" s="29" t="n">
        <f aca="false">IF(Productos!$A$11="",0,G12*Productos!$F$11*Configuracion!$C$10)</f>
        <v>168</v>
      </c>
      <c r="I12" s="32" t="str">
        <f aca="false">IF(Productos!$A$11="","",IF(G12&lt;=D12,"Bajo stock","Normal"))</f>
        <v>Normal</v>
      </c>
    </row>
    <row r="13" customFormat="false" ht="15" hidden="false" customHeight="false" outlineLevel="0" collapsed="false">
      <c r="B13" s="29" t="str">
        <f aca="false">IF(Productos!$A$12="","",Productos!$B$12)</f>
        <v>Cuaderno A4</v>
      </c>
      <c r="C13" s="30" t="str">
        <f aca="false">IF(Productos!$A$12="","",Productos!$C$12)</f>
        <v>Papelería y oficina</v>
      </c>
      <c r="D13" s="30" t="n">
        <f aca="false">IF(Productos!$A$12="","",Productos!$E$12)</f>
        <v>20</v>
      </c>
      <c r="E13" s="30" t="n">
        <f aca="false">SUMIFS(Movimientos!$E$5:$E$204,Movimientos!$B$5:$B$204,Productos!$A$12,Movimientos!$D$5:$D$204,"Entrada")</f>
        <v>30</v>
      </c>
      <c r="F13" s="30" t="n">
        <f aca="false">SUMIFS(Movimientos!$E$5:$E$204,Movimientos!$B$5:$B$204,Productos!$A$12,Movimientos!$D$5:$D$204,"Salida")</f>
        <v>10</v>
      </c>
      <c r="G13" s="31" t="n">
        <f aca="false">IF(Productos!$A$12="","",Productos!$H$12+E13-F13)</f>
        <v>70</v>
      </c>
      <c r="H13" s="29" t="n">
        <f aca="false">IF(Productos!$A$12="",0,G13*Productos!$F$12*Configuracion!$C$10)</f>
        <v>140</v>
      </c>
      <c r="I13" s="32" t="str">
        <f aca="false">IF(Productos!$A$12="","",IF(G13&lt;=D13,"Bajo stock","Normal"))</f>
        <v>Normal</v>
      </c>
    </row>
    <row r="14" customFormat="false" ht="15" hidden="false" customHeight="false" outlineLevel="0" collapsed="false">
      <c r="B14" s="29" t="str">
        <f aca="false">IF(Productos!$A$13="","",Productos!$B$13)</f>
        <v/>
      </c>
      <c r="C14" s="30" t="str">
        <f aca="false">IF(Productos!$A$13="","",Productos!$C$13)</f>
        <v/>
      </c>
      <c r="D14" s="30" t="str">
        <f aca="false">IF(Productos!$A$13="","",Productos!$E$13)</f>
        <v/>
      </c>
      <c r="E14" s="30" t="n">
        <f aca="false">SUMIFS(Movimientos!$E$5:$E$204,Movimientos!$B$5:$B$204,Productos!$A$13,Movimientos!$D$5:$D$204,"Entrada")</f>
        <v>0</v>
      </c>
      <c r="F14" s="30" t="n">
        <f aca="false">SUMIFS(Movimientos!$E$5:$E$204,Movimientos!$B$5:$B$204,Productos!$A$13,Movimientos!$D$5:$D$204,"Salida")</f>
        <v>0</v>
      </c>
      <c r="G14" s="31" t="str">
        <f aca="false">IF(Productos!$A$13="","",Productos!$H$13+E14-F14)</f>
        <v/>
      </c>
      <c r="H14" s="29" t="n">
        <f aca="false">IF(Productos!$A$13="",0,G14*Productos!$F$13*Configuracion!$C$10)</f>
        <v>0</v>
      </c>
      <c r="I14" s="32" t="str">
        <f aca="false">IF(Productos!$A$13="","",IF(G14&lt;=D14,"Bajo stock","Normal"))</f>
        <v/>
      </c>
    </row>
    <row r="15" customFormat="false" ht="15" hidden="false" customHeight="false" outlineLevel="0" collapsed="false">
      <c r="B15" s="29" t="str">
        <f aca="false">IF(Productos!$A$14="","",Productos!$B$14)</f>
        <v/>
      </c>
      <c r="C15" s="30" t="str">
        <f aca="false">IF(Productos!$A$14="","",Productos!$C$14)</f>
        <v/>
      </c>
      <c r="D15" s="30" t="str">
        <f aca="false">IF(Productos!$A$14="","",Productos!$E$14)</f>
        <v/>
      </c>
      <c r="E15" s="30" t="n">
        <f aca="false">SUMIFS(Movimientos!$E$5:$E$204,Movimientos!$B$5:$B$204,Productos!$A$14,Movimientos!$D$5:$D$204,"Entrada")</f>
        <v>0</v>
      </c>
      <c r="F15" s="30" t="n">
        <f aca="false">SUMIFS(Movimientos!$E$5:$E$204,Movimientos!$B$5:$B$204,Productos!$A$14,Movimientos!$D$5:$D$204,"Salida")</f>
        <v>0</v>
      </c>
      <c r="G15" s="31" t="str">
        <f aca="false">IF(Productos!$A$14="","",Productos!$H$14+E15-F15)</f>
        <v/>
      </c>
      <c r="H15" s="29" t="n">
        <f aca="false">IF(Productos!$A$14="",0,G15*Productos!$F$14*Configuracion!$C$10)</f>
        <v>0</v>
      </c>
      <c r="I15" s="32" t="str">
        <f aca="false">IF(Productos!$A$14="","",IF(G15&lt;=D15,"Bajo stock","Normal"))</f>
        <v/>
      </c>
    </row>
    <row r="16" customFormat="false" ht="15" hidden="false" customHeight="false" outlineLevel="0" collapsed="false">
      <c r="B16" s="29" t="str">
        <f aca="false">IF(Productos!$A$15="","",Productos!$B$15)</f>
        <v/>
      </c>
      <c r="C16" s="30" t="str">
        <f aca="false">IF(Productos!$A$15="","",Productos!$C$15)</f>
        <v/>
      </c>
      <c r="D16" s="30" t="str">
        <f aca="false">IF(Productos!$A$15="","",Productos!$E$15)</f>
        <v/>
      </c>
      <c r="E16" s="30" t="n">
        <f aca="false">SUMIFS(Movimientos!$E$5:$E$204,Movimientos!$B$5:$B$204,Productos!$A$15,Movimientos!$D$5:$D$204,"Entrada")</f>
        <v>0</v>
      </c>
      <c r="F16" s="30" t="n">
        <f aca="false">SUMIFS(Movimientos!$E$5:$E$204,Movimientos!$B$5:$B$204,Productos!$A$15,Movimientos!$D$5:$D$204,"Salida")</f>
        <v>0</v>
      </c>
      <c r="G16" s="31" t="str">
        <f aca="false">IF(Productos!$A$15="","",Productos!$H$15+E16-F16)</f>
        <v/>
      </c>
      <c r="H16" s="29" t="n">
        <f aca="false">IF(Productos!$A$15="",0,G16*Productos!$F$15*Configuracion!$C$10)</f>
        <v>0</v>
      </c>
      <c r="I16" s="32" t="str">
        <f aca="false">IF(Productos!$A$15="","",IF(G16&lt;=D16,"Bajo stock","Normal"))</f>
        <v/>
      </c>
    </row>
    <row r="17" customFormat="false" ht="15" hidden="false" customHeight="false" outlineLevel="0" collapsed="false">
      <c r="B17" s="29" t="str">
        <f aca="false">IF(Productos!$A$16="","",Productos!$B$16)</f>
        <v/>
      </c>
      <c r="C17" s="30" t="str">
        <f aca="false">IF(Productos!$A$16="","",Productos!$C$16)</f>
        <v/>
      </c>
      <c r="D17" s="30" t="str">
        <f aca="false">IF(Productos!$A$16="","",Productos!$E$16)</f>
        <v/>
      </c>
      <c r="E17" s="30" t="n">
        <f aca="false">SUMIFS(Movimientos!$E$5:$E$204,Movimientos!$B$5:$B$204,Productos!$A$16,Movimientos!$D$5:$D$204,"Entrada")</f>
        <v>0</v>
      </c>
      <c r="F17" s="30" t="n">
        <f aca="false">SUMIFS(Movimientos!$E$5:$E$204,Movimientos!$B$5:$B$204,Productos!$A$16,Movimientos!$D$5:$D$204,"Salida")</f>
        <v>0</v>
      </c>
      <c r="G17" s="31" t="str">
        <f aca="false">IF(Productos!$A$16="","",Productos!$H$16+E17-F17)</f>
        <v/>
      </c>
      <c r="H17" s="29" t="n">
        <f aca="false">IF(Productos!$A$16="",0,G17*Productos!$F$16*Configuracion!$C$10)</f>
        <v>0</v>
      </c>
      <c r="I17" s="32" t="str">
        <f aca="false">IF(Productos!$A$16="","",IF(G17&lt;=D17,"Bajo stock","Normal"))</f>
        <v/>
      </c>
    </row>
    <row r="18" customFormat="false" ht="15" hidden="false" customHeight="false" outlineLevel="0" collapsed="false">
      <c r="B18" s="33" t="s">
        <v>116</v>
      </c>
      <c r="C18" s="34"/>
      <c r="D18" s="34"/>
      <c r="E18" s="35" t="n">
        <f aca="false">SUM(D6:D17)</f>
        <v>107</v>
      </c>
      <c r="F18" s="35" t="n">
        <f aca="false">SUM(E6:E17)</f>
        <v>180</v>
      </c>
      <c r="G18" s="35" t="n">
        <f aca="false">SUM(F6:F17)</f>
        <v>79</v>
      </c>
      <c r="H18" s="36" t="n">
        <f aca="false">SUM(G6:G17)</f>
        <v>406</v>
      </c>
      <c r="I18" s="37" t="n">
        <f aca="false">COUNTIF(I6:I17,"Bajo stock")</f>
        <v>1</v>
      </c>
    </row>
    <row r="21" customFormat="false" ht="19.5" hidden="false" customHeight="true" outlineLevel="0" collapsed="false">
      <c r="B21" s="38" t="s">
        <v>117</v>
      </c>
      <c r="C21" s="38"/>
    </row>
    <row r="22" customFormat="false" ht="18" hidden="false" customHeight="true" outlineLevel="0" collapsed="false">
      <c r="B22" s="10" t="s">
        <v>75</v>
      </c>
      <c r="C22" s="10" t="s">
        <v>114</v>
      </c>
    </row>
    <row r="23" customFormat="false" ht="15" hidden="false" customHeight="false" outlineLevel="0" collapsed="false">
      <c r="B23" s="29" t="str">
        <f aca="false">Categorias!$B$5</f>
        <v>Electrónica</v>
      </c>
      <c r="C23" s="31" t="n">
        <f aca="false">SUMIFS($H$6:$H$17,$C$6:$C$17,$B23)</f>
        <v>1275</v>
      </c>
    </row>
    <row r="24" customFormat="false" ht="15" hidden="false" customHeight="false" outlineLevel="0" collapsed="false">
      <c r="B24" s="29" t="str">
        <f aca="false">Categorias!$B$6</f>
        <v>Alimentos y bebidas</v>
      </c>
      <c r="C24" s="31" t="n">
        <f aca="false">SUMIFS($H$6:$H$17,$C$6:$C$17,$B24)</f>
        <v>974</v>
      </c>
    </row>
    <row r="25" customFormat="false" ht="15" hidden="false" customHeight="false" outlineLevel="0" collapsed="false">
      <c r="B25" s="29" t="str">
        <f aca="false">Categorias!$B$7</f>
        <v>Ropa y calzado</v>
      </c>
      <c r="C25" s="31" t="n">
        <f aca="false">SUMIFS($H$6:$H$17,$C$6:$C$17,$B25)</f>
        <v>310</v>
      </c>
    </row>
    <row r="26" customFormat="false" ht="15" hidden="false" customHeight="false" outlineLevel="0" collapsed="false">
      <c r="B26" s="29" t="str">
        <f aca="false">Categorias!$B$8</f>
        <v>Hogar y limpieza</v>
      </c>
      <c r="C26" s="31" t="n">
        <f aca="false">SUMIFS($H$6:$H$17,$C$6:$C$17,$B26)</f>
        <v>168</v>
      </c>
    </row>
    <row r="27" customFormat="false" ht="15" hidden="false" customHeight="false" outlineLevel="0" collapsed="false">
      <c r="B27" s="29" t="str">
        <f aca="false">Categorias!$B$9</f>
        <v>Papelería y oficina</v>
      </c>
      <c r="C27" s="31" t="n">
        <f aca="false">SUMIFS($H$6:$H$17,$C$6:$C$17,$B27)</f>
        <v>140</v>
      </c>
    </row>
    <row r="28" customFormat="false" ht="15" hidden="false" customHeight="false" outlineLevel="0" collapsed="false">
      <c r="B28" s="29" t="str">
        <f aca="false">Categorias!$B$10</f>
        <v>Otros</v>
      </c>
      <c r="C28" s="31" t="n">
        <f aca="false">SUMIFS($H$6:$H$17,$C$6:$C$17,$B28)</f>
        <v>0</v>
      </c>
    </row>
  </sheetData>
  <sheetProtection sheet="true" password="ee36" formatCells="false" formatColumns="false" formatRows="false" insertRows="false" selectLockedCells="true" selectUnlockedCells="true"/>
  <mergeCells count="3">
    <mergeCell ref="B2:H2"/>
    <mergeCell ref="B3:H3"/>
    <mergeCell ref="B21:C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118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Moneda de visualización: " &amp; Configuracion!$C$8</f>
        <v> Moneda de visualización: Local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9" t="s">
        <v>119</v>
      </c>
      <c r="C5" s="39"/>
      <c r="D5" s="40" t="s">
        <v>120</v>
      </c>
      <c r="E5" s="40"/>
      <c r="F5" s="41" t="s">
        <v>121</v>
      </c>
      <c r="G5" s="41"/>
      <c r="H5" s="42" t="s">
        <v>122</v>
      </c>
      <c r="I5" s="42"/>
    </row>
    <row r="6" customFormat="false" ht="21.75" hidden="false" customHeight="true" outlineLevel="0" collapsed="false">
      <c r="B6" s="43" t="n">
        <f aca="false">COUNTIF(Productos!$A$5:$A$16,"&lt;&gt;")</f>
        <v>8</v>
      </c>
      <c r="C6" s="43"/>
      <c r="D6" s="44" t="str">
        <f aca="false">Configuracion!$C$11&amp;" "&amp;TEXT(Resumen!H18,"#,##0.00")</f>
        <v>S/ 406.00</v>
      </c>
      <c r="E6" s="44"/>
      <c r="F6" s="45" t="str">
        <f aca="false">TEXT(SUM(Resumen!G6:G17),"#,##0")</f>
        <v>406</v>
      </c>
      <c r="G6" s="45"/>
      <c r="H6" s="46" t="n">
        <f aca="false">Resumen!I18</f>
        <v>1</v>
      </c>
      <c r="I6" s="46"/>
    </row>
    <row r="7" customFormat="false" ht="21.75" hidden="false" customHeight="true" outlineLevel="0" collapsed="false">
      <c r="B7" s="43"/>
      <c r="C7" s="43"/>
      <c r="D7" s="44"/>
      <c r="E7" s="44"/>
      <c r="F7" s="45"/>
      <c r="G7" s="45"/>
      <c r="H7" s="46"/>
      <c r="I7" s="46"/>
    </row>
  </sheetData>
  <sheetProtection sheet="true" password="ee36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2026-09-18T05:23:16Z</dcterms:created>
  <dc:creator>openpyxl</dc:creator>
  <dc:description/>
  <dc:language>en-US</dc:language>
  <cp:lastModifiedBy/>
  <dcterms:modified xsi:type="dcterms:W3CDTF">2026-09-18T05:23:17Z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