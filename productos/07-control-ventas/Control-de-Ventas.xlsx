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Portada" sheetId="1" state="visible" r:id="rId3"/>
    <sheet name="Instrucciones" sheetId="2" state="visible" r:id="rId4"/>
    <sheet name="Configuracion" sheetId="3" state="visible" r:id="rId5"/>
    <sheet name="Catalogo" sheetId="4" state="visible" r:id="rId6"/>
    <sheet name="Clientes" sheetId="5" state="visible" r:id="rId7"/>
    <sheet name="Ventas" sheetId="6" state="visible" r:id="rId8"/>
    <sheet name="Resumen" sheetId="7" state="visible" r:id="rId9"/>
    <sheet name="Dashboard" sheetId="8" state="visible" r:id="rId10"/>
  </sheets>
  <definedNames>
    <definedName function="false" hidden="false" name="FactorConversion" vbProcedure="false">Configuracion!$C$11</definedName>
    <definedName function="false" hidden="false" name="MonedaVisualizacion" vbProcedure="false">Configuracion!$C$8</definedName>
    <definedName function="false" hidden="false" name="TipoCambio" vbProcedure="false">Configuracion!$C$7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<sst xmlns="http://schemas.openxmlformats.org/spreadsheetml/2006/main" count="175" uniqueCount="122">
  <si>
    <t xml:space="preserve">LÍNEA DE PRODUCTOS DIGITALES · PLANTILLAS EXCEL</t>
  </si>
  <si>
    <t xml:space="preserve">CONTROL DE VENTAS</t>
  </si>
  <si>
    <t xml:space="preserve">Registra cada venta de tu negocio, controla qué productos se venden más, quiénes son tus mejores clientes y cuánto tienes pendiente de cobro — con panel de control, gráficos automáticos y selector de moneda (local / USD).</t>
  </si>
  <si>
    <t xml:space="preserve">QUÉ INCLUYE ESTA PLANTILLA</t>
  </si>
  <si>
    <t xml:space="preserve">✔  Dashboard con indicadores clave (KPIs) y gráficos automáticos</t>
  </si>
  <si>
    <t xml:space="preserve">✔  Fórmulas automáticas: nada que calcular a mano</t>
  </si>
  <si>
    <t xml:space="preserve">✔  Gráficos: pastel (ventas por producto), barras (ventas por mes y top clientes)</t>
  </si>
  <si>
    <t xml:space="preserve">✔  Resumen dinámico tipo tabla dinámica por producto, cliente y mes</t>
  </si>
  <si>
    <t xml:space="preserve">✔  Control de cobros: pagado vs. pendiente</t>
  </si>
  <si>
    <t xml:space="preserve">✔  Listas desplegables y validación de datos en cada registro</t>
  </si>
  <si>
    <t xml:space="preserve">✔  Selector de moneda: local o USD, con tipo de cambio editable</t>
  </si>
  <si>
    <t xml:space="preserve">✔  Hoja de instrucciones paso a paso</t>
  </si>
  <si>
    <t xml:space="preserve">✔  Celdas y fórmulas protegidas: solo editas donde debes</t>
  </si>
  <si>
    <t xml:space="preserve">✔  Diseño profesional y ejemplos precargados</t>
  </si>
  <si>
    <t xml:space="preserve">Producto digital · Precio orientativo: $9.99 USD  |  Licencia de uso comercial</t>
  </si>
  <si>
    <t xml:space="preserve">© Tu Marca de Plantillas · www.tumarca.com</t>
  </si>
  <si>
    <t xml:space="preserve">CÓMO USAR ESTA PLANTILLA</t>
  </si>
  <si>
    <t xml:space="preserve">1. Configuración</t>
  </si>
  <si>
    <t xml:space="preserve">Define el símbolo de tu moneda local, el tipo de cambio y si la plantilla se muestra en moneda LOCAL o USD.</t>
  </si>
  <si>
    <t xml:space="preserve">2. Catálogo y Clientes</t>
  </si>
  <si>
    <t xml:space="preserve">En 'Catálogo' registra tus productos/servicios y su precio. En 'Clientes' registra tu cartera de clientes. Ambos alimentan las listas desplegables de 'Ventas'.</t>
  </si>
  <si>
    <t xml:space="preserve">3. Ventas</t>
  </si>
  <si>
    <t xml:space="preserve">En 'Ventas' registra cada venta: fecha, cliente (lista desplegable), producto (lista desplegable), cantidad, método de pago y estado (Pagado/Pendiente). El precio unitario y el total se calculan solos.</t>
  </si>
  <si>
    <t xml:space="preserve">4. Resumen automático</t>
  </si>
  <si>
    <t xml:space="preserve">La hoja 'Resumen' agrupa automáticamente tus ventas por producto, por cliente y por mes, como una tabla dinámica.</t>
  </si>
  <si>
    <t xml:space="preserve">5. Dashboard</t>
  </si>
  <si>
    <t xml:space="preserve">La hoja 'Dashboard' muestra tus ventas del año, tu ticket promedio, lo pendiente de cobro y tu producto más vendido, con gráficos que se actualizan solos.</t>
  </si>
  <si>
    <t xml:space="preserve">6. Cambiar de moneda</t>
  </si>
  <si>
    <t xml:space="preserve">Cambia 'Moneda de visualización' en 'Configuración' entre Local y USD: todo se recalcula automáticamente.</t>
  </si>
  <si>
    <t xml:space="preserve">7. Celdas protegidas</t>
  </si>
  <si>
    <t xml:space="preserve">Las hojas están protegidas para que no borres fórmulas por accidente. Solo puedes escribir en las celdas resaltadas en color crema / texto azul. Contraseña de desprotección: plantilla2026.</t>
  </si>
  <si>
    <t xml:space="preserve">Soporte y otras plantillas de esta línea de productos: www.tumarca.com</t>
  </si>
  <si>
    <t xml:space="preserve">CONFIGURACIÓN Y MONEDA</t>
  </si>
  <si>
    <t xml:space="preserve">Parámetro</t>
  </si>
  <si>
    <t xml:space="preserve">Valor</t>
  </si>
  <si>
    <t xml:space="preserve">Notas</t>
  </si>
  <si>
    <t xml:space="preserve">Nombre de moneda local</t>
  </si>
  <si>
    <t xml:space="preserve">Soles (PEN)</t>
  </si>
  <si>
    <t xml:space="preserve">Solo referencia. Escribe el nombre de tu moneda.</t>
  </si>
  <si>
    <t xml:space="preserve">Símbolo de moneda local</t>
  </si>
  <si>
    <t xml:space="preserve">S/</t>
  </si>
  <si>
    <t xml:space="preserve">Símbolo que se usará en el Dashboard cuando la vista esté en LOCAL.</t>
  </si>
  <si>
    <t xml:space="preserve">Tipo de cambio (1 USD =)</t>
  </si>
  <si>
    <t xml:space="preserve">Cuántas unidades de tu moneda local equivalen a 1 USD.</t>
  </si>
  <si>
    <t xml:space="preserve">Moneda de visualización</t>
  </si>
  <si>
    <t xml:space="preserve">Local</t>
  </si>
  <si>
    <t xml:space="preserve">Elige LOCAL o USD. Afecta Resumen y Dashboard.</t>
  </si>
  <si>
    <t xml:space="preserve">Año de análisis</t>
  </si>
  <si>
    <t xml:space="preserve">Año que se usa para agrupar el Resumen Mensual.</t>
  </si>
  <si>
    <t xml:space="preserve">Valores calculados (no editar)</t>
  </si>
  <si>
    <t xml:space="preserve">Factor de conversión aplicado</t>
  </si>
  <si>
    <t xml:space="preserve">Vale 1 si vista LOCAL; vale 1/Tipo de cambio si vista USD.</t>
  </si>
  <si>
    <t xml:space="preserve">Símbolo de moneda actual</t>
  </si>
  <si>
    <t xml:space="preserve">Símbolo que verás en el Dashboard según la moneda elegida.</t>
  </si>
  <si>
    <t xml:space="preserve">Cambia 'Moneda de visualización' entre Local y USD para recalcular automáticamente toda la plantilla.</t>
  </si>
  <si>
    <t xml:space="preserve">CATÁLOGO DE PRODUCTOS / SERVICIOS</t>
  </si>
  <si>
    <t xml:space="preserve">Producto / Servicio</t>
  </si>
  <si>
    <t xml:space="preserve">Categoría</t>
  </si>
  <si>
    <t xml:space="preserve">Precio unitario</t>
  </si>
  <si>
    <t xml:space="preserve">Consultoría por hora</t>
  </si>
  <si>
    <t xml:space="preserve">Servicios</t>
  </si>
  <si>
    <t xml:space="preserve">Diseño de logo</t>
  </si>
  <si>
    <t xml:space="preserve">Plantilla Excel básica</t>
  </si>
  <si>
    <t xml:space="preserve">Productos digitales</t>
  </si>
  <si>
    <t xml:space="preserve">Plantilla Excel avanzada</t>
  </si>
  <si>
    <t xml:space="preserve">Paquete de mantenimiento mensual</t>
  </si>
  <si>
    <t xml:space="preserve">Curso en línea</t>
  </si>
  <si>
    <t xml:space="preserve">CARTERA DE CLIENTES</t>
  </si>
  <si>
    <t xml:space="preserve">Cliente</t>
  </si>
  <si>
    <t xml:space="preserve">Contacto</t>
  </si>
  <si>
    <t xml:space="preserve">María Fernández</t>
  </si>
  <si>
    <t xml:space="preserve">maria.f@email.com</t>
  </si>
  <si>
    <t xml:space="preserve">Carlos Rojas</t>
  </si>
  <si>
    <t xml:space="preserve">carlos.rojas@email.com</t>
  </si>
  <si>
    <t xml:space="preserve">Tienda El Sol S.A.C.</t>
  </si>
  <si>
    <t xml:space="preserve">ventas@elsol.com</t>
  </si>
  <si>
    <t xml:space="preserve">Laura Gómez</t>
  </si>
  <si>
    <t xml:space="preserve">laura.gomez@email.com</t>
  </si>
  <si>
    <t xml:space="preserve">Distribuidora Andina</t>
  </si>
  <si>
    <t xml:space="preserve">contacto@andina.com</t>
  </si>
  <si>
    <t xml:space="preserve">REGISTRO DE VENTAS</t>
  </si>
  <si>
    <t xml:space="preserve">Completa las columnas A, B, C, D, G y H. El precio unitario y el total se calculan automáticamente.</t>
  </si>
  <si>
    <t xml:space="preserve">Fecha</t>
  </si>
  <si>
    <t xml:space="preserve">Cantidad</t>
  </si>
  <si>
    <t xml:space="preserve">Total</t>
  </si>
  <si>
    <t xml:space="preserve">Método de pago</t>
  </si>
  <si>
    <t xml:space="preserve">Estado</t>
  </si>
  <si>
    <t xml:space="preserve">Transferencia</t>
  </si>
  <si>
    <t xml:space="preserve">Pagado</t>
  </si>
  <si>
    <t xml:space="preserve">Tarjeta</t>
  </si>
  <si>
    <t xml:space="preserve">Pendiente</t>
  </si>
  <si>
    <t xml:space="preserve">Efectivo</t>
  </si>
  <si>
    <t xml:space="preserve">RESUMEN DINÁMICO (se actualiza solo)</t>
  </si>
  <si>
    <t xml:space="preserve">VENTAS POR PRODUCTO</t>
  </si>
  <si>
    <t xml:space="preserve">Unidades vendidas</t>
  </si>
  <si>
    <t xml:space="preserve">Total ventas</t>
  </si>
  <si>
    <t xml:space="preserve">VENTAS POR CLIENTE</t>
  </si>
  <si>
    <t xml:space="preserve">Total comprado</t>
  </si>
  <si>
    <t xml:space="preserve">VENTAS MENSUALES</t>
  </si>
  <si>
    <t xml:space="preserve">Mes</t>
  </si>
  <si>
    <t xml:space="preserve">N° de ventas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</si>
  <si>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</si>
  <si>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</si>
  <si>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</si>
  <si>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</si>
  <si>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</si>
  <si>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</si>
  <si>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</si>
  <si>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</si>
  <si>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</si>
  <si>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</si>
  <si>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</si>
  <si>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</si>
  <si>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</si>
  <si>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Total pendiente de cobro</t>
  </si>
  <si>
    <t xml:space="preserve">Ticket promedio</t>
  </si>
  <si>
    <t xml:space="preserve">Producto más vendido (por monto)</t>
  </si>
  <si>
    <t xml:space="preserve">DASHBOARD · CONTROL DE VENTAS</t>
  </si>
  <si>
    <t xml:space="preserve">VENTAS DEL AÑO</t>
  </si>
  <si>
    <t xml:space="preserve">TICKET PROMEDIO</t>
  </si>
  <si>
    <t xml:space="preserve">PENDIENTE DE COBRO</t>
  </si>
  <si>
    <t xml:space="preserve">PRODUCTO TOP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</si>
</sst>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#,##0.00"/>
    <numFmt numFmtId="167" formatCode="dd/mm/yyyy"/>
    <numFmt numFmtId="168" formatCode="#,##0"/>
    <numFmt numFmtId="169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CA58D"/>
      <name val="Arial"/>
      <family val="0"/>
      <charset val="1"/>
    </font>
    <font>
      <b val="true"/>
      <sz val="28"/>
      <color rgb="FF1F3B57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9A2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4F6"/>
        <bgColor rgb="FFF9F9F9"/>
      </patternFill>
    </fill>
    <fill>
      <patternFill patternType="solid">
        <fgColor rgb="FF1F3B57"/>
        <bgColor rgb="FF003366"/>
      </patternFill>
    </fill>
    <fill>
      <patternFill patternType="solid">
        <fgColor rgb="FFFFF6D9"/>
        <bgColor rgb="FFF9F9F9"/>
      </patternFill>
    </fill>
    <fill>
      <patternFill patternType="solid">
        <fgColor rgb="FF2CA58D"/>
        <bgColor rgb="FF4299B0"/>
      </patternFill>
    </fill>
    <fill>
      <patternFill patternType="solid">
        <fgColor rgb="FFB23B3B"/>
        <bgColor rgb="FFAB4744"/>
      </patternFill>
    </fill>
    <fill>
      <patternFill patternType="solid">
        <fgColor rgb="FFC9A24B"/>
        <bgColor rgb="FFDC85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3A9CE"/>
      <rgbColor rgb="FFB23B3B"/>
      <rgbColor rgb="FFFFF6D9"/>
      <rgbColor rgb="FFF2F4F6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EE3"/>
      <rgbColor rgb="FFFFFF99"/>
      <rgbColor rgb="FF99CCFF"/>
      <rgbColor rgb="FFD09493"/>
      <rgbColor rgb="FFCC99FF"/>
      <rgbColor rgb="FFFFCC99"/>
      <rgbColor rgb="FF4672A8"/>
      <rgbColor rgb="FF4299B0"/>
      <rgbColor rgb="FF99CC00"/>
      <rgbColor rgb="FFFFCC00"/>
      <rgbColor rgb="FFC9A24B"/>
      <rgbColor rgb="FFFF6600"/>
      <rgbColor rgb="FF725990"/>
      <rgbColor rgb="FF8AA64F"/>
      <rgbColor rgb="FF003366"/>
      <rgbColor rgb="FF2CA58D"/>
      <rgbColor rgb="FF003300"/>
      <rgbColor rgb="FF1A1A1A"/>
      <rgbColor rgb="FFC0504D"/>
      <rgbColor rgb="FFAB4744"/>
      <rgbColor rgb="FF555555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Resumen!D6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Resumen!$B$7:$B$14</c:f>
              <c:strCache>
                <c:ptCount val="8"/>
                <c:pt idx="0">
                  <c:v>Consultoría por hora</c:v>
                </c:pt>
                <c:pt idx="1">
                  <c:v>Diseño de logo</c:v>
                </c:pt>
                <c:pt idx="2">
                  <c:v>Plantilla Excel básica</c:v>
                </c:pt>
                <c:pt idx="3">
                  <c:v>Plantilla Excel avanzada</c:v>
                </c:pt>
                <c:pt idx="4">
                  <c:v>Paquete de mantenimiento mensual</c:v>
                </c:pt>
                <c:pt idx="5">
                  <c:v>Curso en línea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Resumen!$D$7:$D$14</c:f>
              <c:numCache>
                <c:formatCode>#,##0.00</c:formatCode>
                <c:ptCount val="8"/>
                <c:pt idx="0">
                  <c:v>360</c:v>
                </c:pt>
                <c:pt idx="1">
                  <c:v>300</c:v>
                </c:pt>
                <c:pt idx="2">
                  <c:v>28</c:v>
                </c:pt>
                <c:pt idx="3">
                  <c:v>45</c:v>
                </c:pt>
                <c:pt idx="4">
                  <c:v>400</c:v>
                </c:pt>
                <c:pt idx="5">
                  <c:v>120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Resumen!C29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Resumen!$B$30:$B$41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Resumen!$C$30:$C$41</c:f>
              <c:numCache>
                <c:formatCode>#,##0.00</c:formatCode>
                <c:ptCount val="12"/>
                <c:pt idx="0">
                  <c:v>522</c:v>
                </c:pt>
                <c:pt idx="1">
                  <c:v>436</c:v>
                </c:pt>
                <c:pt idx="2">
                  <c:v>295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2251180"/>
        <c:axId val="43833270"/>
      </c:barChart>
      <c:catAx>
        <c:axId val="922511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33270"/>
        <c:crosses val="autoZero"/>
        <c:auto val="1"/>
        <c:lblAlgn val="ctr"/>
        <c:lblOffset val="100"/>
        <c:noMultiLvlLbl val="0"/>
      </c:catAx>
      <c:valAx>
        <c:axId val="43833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511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clientes por compras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Resumen!C18</c:f>
              <c:strCache>
                <c:ptCount val="1"/>
                <c:pt idx="0">
                  <c:v>Total comprado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Resumen!$B$19:$B$25</c:f>
              <c:strCache>
                <c:ptCount val="7"/>
                <c:pt idx="0">
                  <c:v>María Fernández</c:v>
                </c:pt>
                <c:pt idx="1">
                  <c:v>Carlos Rojas</c:v>
                </c:pt>
                <c:pt idx="2">
                  <c:v>Tienda El Sol S.A.C.</c:v>
                </c:pt>
                <c:pt idx="3">
                  <c:v>Laura Gómez</c:v>
                </c:pt>
                <c:pt idx="4">
                  <c:v>Distribuidora Andina</c:v>
                </c:pt>
                <c:pt idx="5">
                  <c:v>0</c:v>
                </c:pt>
                <c:pt idx="6">
                  <c:v>0</c:v>
                </c:pt>
              </c:strCache>
            </c:strRef>
          </c:cat>
          <c:val>
            <c:numRef>
              <c:f>Resumen!$C$19:$C$25</c:f>
              <c:numCache>
                <c:formatCode>#,##0.00</c:formatCode>
                <c:ptCount val="7"/>
                <c:pt idx="0">
                  <c:v>62</c:v>
                </c:pt>
                <c:pt idx="1">
                  <c:v>236</c:v>
                </c:pt>
                <c:pt idx="2">
                  <c:v>375</c:v>
                </c:pt>
                <c:pt idx="3">
                  <c:v>180</c:v>
                </c:pt>
                <c:pt idx="4">
                  <c:v>400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57355649"/>
        <c:axId val="59258520"/>
      </c:barChart>
      <c:catAx>
        <c:axId val="573556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58520"/>
        <c:crosses val="autoZero"/>
        <c:auto val="1"/>
        <c:lblAlgn val="ctr"/>
        <c:lblOffset val="100"/>
        <c:noMultiLvlLbl val="0"/>
      </c:catAx>
      <c:valAx>
        <c:axId val="59258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556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4</xdr:col>
      <xdr:colOff>1132560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26676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1132200</xdr:colOff>
      <xdr:row>25</xdr:row>
      <xdr:rowOff>1080</xdr:rowOff>
    </xdr:to>
    <xdr:graphicFrame>
      <xdr:nvGraphicFramePr>
        <xdr:cNvPr id="1" name="Chart 2"/>
        <xdr:cNvGraphicFramePr/>
      </xdr:nvGraphicFramePr>
      <xdr:xfrm>
        <a:off x="453384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9</xdr:col>
      <xdr:colOff>576360</xdr:colOff>
      <xdr:row>44</xdr:row>
      <xdr:rowOff>1080</xdr:rowOff>
    </xdr:to>
    <xdr:graphicFrame>
      <xdr:nvGraphicFramePr>
        <xdr:cNvPr id="2" name="Chart 3"/>
        <xdr:cNvGraphicFramePr/>
      </xdr:nvGraphicFramePr>
      <xdr:xfrm>
        <a:off x="266760" y="55148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  <col collapsed="false" customWidth="true" hidden="false" outlineLevel="0" max="7" min="7" style="0" width="4"/>
  </cols>
  <sheetData>
    <row r="2" customFormat="false" ht="19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/>
    <row r="4" customFormat="false" ht="30" hidden="false" customHeight="true" outlineLevel="0" collapsed="false">
      <c r="B4" s="2" t="s">
        <v>1</v>
      </c>
      <c r="C4" s="2"/>
      <c r="D4" s="2"/>
      <c r="E4" s="2"/>
      <c r="F4" s="2"/>
    </row>
    <row r="5" customFormat="false" ht="19.5" hidden="false" customHeight="true" outlineLevel="0" collapsed="false">
      <c r="B5" s="2"/>
      <c r="C5" s="2"/>
      <c r="D5" s="2"/>
      <c r="E5" s="2"/>
      <c r="F5" s="2"/>
    </row>
    <row r="6" customFormat="false" ht="19.5" hidden="false" customHeight="true" outlineLevel="0" collapsed="false">
      <c r="B6" s="2"/>
      <c r="C6" s="2"/>
      <c r="D6" s="2"/>
      <c r="E6" s="2"/>
      <c r="F6" s="2"/>
    </row>
    <row r="7" customFormat="false" ht="19.5" hidden="false" customHeight="true" outlineLevel="0" collapsed="false">
      <c r="B7" s="3" t="s">
        <v>2</v>
      </c>
      <c r="C7" s="3"/>
      <c r="D7" s="3"/>
      <c r="E7" s="3"/>
      <c r="F7" s="3"/>
    </row>
    <row r="8" customFormat="false" ht="19.5" hidden="false" customHeight="true" outlineLevel="0" collapsed="false">
      <c r="B8" s="3"/>
      <c r="C8" s="3"/>
      <c r="D8" s="3"/>
      <c r="E8" s="3"/>
      <c r="F8" s="3"/>
    </row>
    <row r="10" customFormat="false" ht="19.5" hidden="false" customHeight="true" outlineLevel="0" collapsed="false">
      <c r="B10" s="4" t="s">
        <v>3</v>
      </c>
      <c r="C10" s="4"/>
      <c r="D10" s="4"/>
      <c r="E10" s="4"/>
      <c r="F10" s="4"/>
    </row>
    <row r="11" customFormat="false" ht="18" hidden="false" customHeight="true" outlineLevel="0" collapsed="false">
      <c r="B11" s="5" t="s">
        <v>4</v>
      </c>
      <c r="C11" s="5"/>
      <c r="D11" s="5"/>
      <c r="E11" s="5"/>
      <c r="F11" s="5"/>
    </row>
    <row r="12" customFormat="false" ht="18" hidden="false" customHeight="true" outlineLevel="0" collapsed="false">
      <c r="B12" s="5" t="s">
        <v>5</v>
      </c>
      <c r="C12" s="5"/>
      <c r="D12" s="5"/>
      <c r="E12" s="5"/>
      <c r="F12" s="5"/>
    </row>
    <row r="13" customFormat="false" ht="18" hidden="false" customHeight="true" outlineLevel="0" collapsed="false">
      <c r="B13" s="5" t="s">
        <v>6</v>
      </c>
      <c r="C13" s="5"/>
      <c r="D13" s="5"/>
      <c r="E13" s="5"/>
      <c r="F13" s="5"/>
    </row>
    <row r="14" customFormat="false" ht="18" hidden="false" customHeight="true" outlineLevel="0" collapsed="false">
      <c r="B14" s="5" t="s">
        <v>7</v>
      </c>
      <c r="C14" s="5"/>
      <c r="D14" s="5"/>
      <c r="E14" s="5"/>
      <c r="F14" s="5"/>
    </row>
    <row r="15" customFormat="false" ht="18" hidden="false" customHeight="true" outlineLevel="0" collapsed="false">
      <c r="B15" s="5" t="s">
        <v>8</v>
      </c>
      <c r="C15" s="5"/>
      <c r="D15" s="5"/>
      <c r="E15" s="5"/>
      <c r="F15" s="5"/>
    </row>
    <row r="16" customFormat="false" ht="18" hidden="false" customHeight="true" outlineLevel="0" collapsed="false">
      <c r="B16" s="5" t="s">
        <v>9</v>
      </c>
      <c r="C16" s="5"/>
      <c r="D16" s="5"/>
      <c r="E16" s="5"/>
      <c r="F16" s="5"/>
    </row>
    <row r="17" customFormat="false" ht="18" hidden="false" customHeight="true" outlineLevel="0" collapsed="false">
      <c r="B17" s="5" t="s">
        <v>10</v>
      </c>
      <c r="C17" s="5"/>
      <c r="D17" s="5"/>
      <c r="E17" s="5"/>
      <c r="F17" s="5"/>
    </row>
    <row r="18" customFormat="false" ht="18" hidden="false" customHeight="true" outlineLevel="0" collapsed="false">
      <c r="B18" s="5" t="s">
        <v>11</v>
      </c>
      <c r="C18" s="5"/>
      <c r="D18" s="5"/>
      <c r="E18" s="5"/>
      <c r="F18" s="5"/>
    </row>
    <row r="19" customFormat="false" ht="18" hidden="false" customHeight="true" outlineLevel="0" collapsed="false">
      <c r="B19" s="5" t="s">
        <v>12</v>
      </c>
      <c r="C19" s="5"/>
      <c r="D19" s="5"/>
      <c r="E19" s="5"/>
      <c r="F19" s="5"/>
    </row>
    <row r="20" customFormat="false" ht="18" hidden="false" customHeight="true" outlineLevel="0" collapsed="false">
      <c r="B20" s="5" t="s">
        <v>13</v>
      </c>
      <c r="C20" s="5"/>
      <c r="D20" s="5"/>
      <c r="E20" s="5"/>
      <c r="F20" s="5"/>
    </row>
    <row r="22" customFormat="false" ht="15" hidden="false" customHeight="false" outlineLevel="0" collapsed="false">
      <c r="B22" s="6" t="s">
        <v>14</v>
      </c>
      <c r="C22" s="6"/>
      <c r="D22" s="6"/>
      <c r="E22" s="6"/>
      <c r="F22" s="6"/>
    </row>
    <row r="24" customFormat="false" ht="15" hidden="false" customHeight="false" outlineLevel="0" collapsed="false">
      <c r="B24" s="7" t="s">
        <v>15</v>
      </c>
      <c r="C24" s="7"/>
      <c r="D24" s="7"/>
      <c r="E24" s="7"/>
      <c r="F24" s="7"/>
    </row>
  </sheetData>
  <sheetProtection sheet="true" password="ee36" formatCells="false" formatColumns="false" formatRows="false" insertRows="false" selectLockedCells="true" selectUnlockedCells="true"/>
  <mergeCells count="16">
    <mergeCell ref="B2:F2"/>
    <mergeCell ref="B4:F6"/>
    <mergeCell ref="B7:F8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2:F22"/>
    <mergeCell ref="B24:F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46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8" t="s">
        <v>16</v>
      </c>
      <c r="C2" s="8"/>
    </row>
    <row r="4" customFormat="false" ht="18" hidden="false" customHeight="true" outlineLevel="0" collapsed="false">
      <c r="B4" s="4" t="s">
        <v>17</v>
      </c>
      <c r="C4" s="4"/>
    </row>
    <row r="5" customFormat="false" ht="42" hidden="false" customHeight="true" outlineLevel="0" collapsed="false">
      <c r="B5" s="9" t="s">
        <v>18</v>
      </c>
      <c r="C5" s="9"/>
    </row>
    <row r="7" customFormat="false" ht="18" hidden="false" customHeight="true" outlineLevel="0" collapsed="false">
      <c r="B7" s="4" t="s">
        <v>19</v>
      </c>
      <c r="C7" s="4"/>
    </row>
    <row r="8" customFormat="false" ht="42" hidden="false" customHeight="true" outlineLevel="0" collapsed="false">
      <c r="B8" s="9" t="s">
        <v>20</v>
      </c>
      <c r="C8" s="9"/>
    </row>
    <row r="10" customFormat="false" ht="18" hidden="false" customHeight="true" outlineLevel="0" collapsed="false">
      <c r="B10" s="4" t="s">
        <v>21</v>
      </c>
      <c r="C10" s="4"/>
    </row>
    <row r="11" customFormat="false" ht="42" hidden="false" customHeight="true" outlineLevel="0" collapsed="false">
      <c r="B11" s="9" t="s">
        <v>22</v>
      </c>
      <c r="C11" s="9"/>
    </row>
    <row r="13" customFormat="false" ht="18" hidden="false" customHeight="true" outlineLevel="0" collapsed="false">
      <c r="B13" s="4" t="s">
        <v>23</v>
      </c>
      <c r="C13" s="4"/>
    </row>
    <row r="14" customFormat="false" ht="42" hidden="false" customHeight="true" outlineLevel="0" collapsed="false">
      <c r="B14" s="9" t="s">
        <v>24</v>
      </c>
      <c r="C14" s="9"/>
    </row>
    <row r="16" customFormat="false" ht="18" hidden="false" customHeight="true" outlineLevel="0" collapsed="false">
      <c r="B16" s="4" t="s">
        <v>25</v>
      </c>
      <c r="C16" s="4"/>
    </row>
    <row r="17" customFormat="false" ht="42" hidden="false" customHeight="true" outlineLevel="0" collapsed="false">
      <c r="B17" s="9" t="s">
        <v>26</v>
      </c>
      <c r="C17" s="9"/>
    </row>
    <row r="19" customFormat="false" ht="18" hidden="false" customHeight="true" outlineLevel="0" collapsed="false">
      <c r="B19" s="4" t="s">
        <v>27</v>
      </c>
      <c r="C19" s="4"/>
    </row>
    <row r="20" customFormat="false" ht="42" hidden="false" customHeight="true" outlineLevel="0" collapsed="false">
      <c r="B20" s="9" t="s">
        <v>28</v>
      </c>
      <c r="C20" s="9"/>
    </row>
    <row r="22" customFormat="false" ht="18" hidden="false" customHeight="true" outlineLevel="0" collapsed="false">
      <c r="B22" s="4" t="s">
        <v>29</v>
      </c>
      <c r="C22" s="4"/>
    </row>
    <row r="23" customFormat="false" ht="42" hidden="false" customHeight="true" outlineLevel="0" collapsed="false">
      <c r="B23" s="9" t="s">
        <v>30</v>
      </c>
      <c r="C23" s="9"/>
    </row>
    <row r="25" customFormat="false" ht="15" hidden="false" customHeight="false" outlineLevel="0" collapsed="false">
      <c r="B25" s="7" t="s">
        <v>31</v>
      </c>
      <c r="C25" s="7"/>
    </row>
  </sheetData>
  <sheetProtection sheet="true" password="ee36" formatCells="false" formatColumns="false" formatRows="false" insertRows="false" selectLockedCells="true" selectUnlockedCells="true"/>
  <mergeCells count="16">
    <mergeCell ref="B2:C2"/>
    <mergeCell ref="B4:C4"/>
    <mergeCell ref="B5:C5"/>
    <mergeCell ref="B7:C7"/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25:C2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"/>
  </cols>
  <sheetData>
    <row r="2" customFormat="false" ht="25.5" hidden="false" customHeight="true" outlineLevel="0" collapsed="false">
      <c r="B2" s="8" t="s">
        <v>32</v>
      </c>
      <c r="C2" s="8"/>
      <c r="D2" s="8"/>
    </row>
    <row r="4" customFormat="false" ht="21.75" hidden="false" customHeight="true" outlineLevel="0" collapsed="false">
      <c r="B4" s="10" t="s">
        <v>33</v>
      </c>
      <c r="C4" s="10" t="s">
        <v>34</v>
      </c>
      <c r="D4" s="10" t="s">
        <v>35</v>
      </c>
    </row>
    <row r="5" customFormat="false" ht="18" hidden="false" customHeight="true" outlineLevel="0" collapsed="false">
      <c r="B5" s="11" t="s">
        <v>36</v>
      </c>
      <c r="C5" s="12" t="s">
        <v>37</v>
      </c>
      <c r="D5" s="13" t="s">
        <v>38</v>
      </c>
    </row>
    <row r="6" customFormat="false" ht="18" hidden="false" customHeight="true" outlineLevel="0" collapsed="false">
      <c r="B6" s="11" t="s">
        <v>39</v>
      </c>
      <c r="C6" s="12" t="s">
        <v>40</v>
      </c>
      <c r="D6" s="13" t="s">
        <v>41</v>
      </c>
    </row>
    <row r="7" customFormat="false" ht="18" hidden="false" customHeight="true" outlineLevel="0" collapsed="false">
      <c r="B7" s="11" t="s">
        <v>42</v>
      </c>
      <c r="C7" s="12" t="n">
        <v>3.75</v>
      </c>
      <c r="D7" s="13" t="s">
        <v>43</v>
      </c>
    </row>
    <row r="8" customFormat="false" ht="18" hidden="false" customHeight="true" outlineLevel="0" collapsed="false">
      <c r="B8" s="11" t="s">
        <v>44</v>
      </c>
      <c r="C8" s="12" t="s">
        <v>45</v>
      </c>
      <c r="D8" s="13" t="s">
        <v>46</v>
      </c>
    </row>
    <row r="9" customFormat="false" ht="18" hidden="false" customHeight="true" outlineLevel="0" collapsed="false">
      <c r="B9" s="11" t="s">
        <v>47</v>
      </c>
      <c r="C9" s="12" t="n">
        <v>2026</v>
      </c>
      <c r="D9" s="13" t="s">
        <v>48</v>
      </c>
    </row>
    <row r="10" customFormat="false" ht="18" hidden="false" customHeight="true" outlineLevel="0" collapsed="false">
      <c r="B10" s="14" t="s">
        <v>49</v>
      </c>
      <c r="C10" s="15"/>
      <c r="D10" s="15"/>
    </row>
    <row r="11" customFormat="false" ht="18" hidden="false" customHeight="true" outlineLevel="0" collapsed="false">
      <c r="B11" s="16" t="s">
        <v>50</v>
      </c>
      <c r="C11" s="17" t="n">
        <f aca="false">IF(C8="USD",1/C7,1)</f>
        <v>1</v>
      </c>
      <c r="D11" s="18" t="s">
        <v>51</v>
      </c>
    </row>
    <row r="12" customFormat="false" ht="18" hidden="false" customHeight="true" outlineLevel="0" collapsed="false">
      <c r="B12" s="16" t="s">
        <v>52</v>
      </c>
      <c r="C12" s="19" t="str">
        <f aca="false">IF(C8="USD","US$",C6)</f>
        <v>S/</v>
      </c>
      <c r="D12" s="18" t="s">
        <v>53</v>
      </c>
    </row>
    <row r="14" customFormat="false" ht="15" hidden="false" customHeight="true" outlineLevel="0" collapsed="false">
      <c r="B14" s="20" t="s">
        <v>54</v>
      </c>
      <c r="C14" s="20"/>
      <c r="D14" s="20"/>
    </row>
  </sheetData>
  <sheetProtection sheet="true" password="ee36" formatCells="false" formatColumns="false" formatRows="false" insertRows="false" selectLockedCells="true" selectUnlockedCells="true"/>
  <mergeCells count="2">
    <mergeCell ref="B2:D2"/>
    <mergeCell ref="B14:D14"/>
  </mergeCells>
  <dataValidations count="1">
    <dataValidation allowBlank="false" errorStyle="stop" operator="between" showDropDown="false" showErrorMessage="false" showInputMessage="false" sqref="C8" type="list">
      <formula1>"Local,USD"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"/>
  </cols>
  <sheetData>
    <row r="2" customFormat="false" ht="25.5" hidden="false" customHeight="true" outlineLevel="0" collapsed="false">
      <c r="A2" s="8" t="s">
        <v>55</v>
      </c>
      <c r="B2" s="8"/>
      <c r="C2" s="8"/>
    </row>
    <row r="4" customFormat="false" ht="19.5" hidden="false" customHeight="true" outlineLevel="0" collapsed="false">
      <c r="A4" s="10" t="s">
        <v>56</v>
      </c>
      <c r="B4" s="10" t="s">
        <v>57</v>
      </c>
      <c r="C4" s="10" t="s">
        <v>58</v>
      </c>
    </row>
    <row r="5" customFormat="false" ht="15" hidden="false" customHeight="false" outlineLevel="0" collapsed="false">
      <c r="A5" s="21" t="s">
        <v>59</v>
      </c>
      <c r="B5" s="21" t="s">
        <v>60</v>
      </c>
      <c r="C5" s="22" t="n">
        <v>45</v>
      </c>
    </row>
    <row r="6" customFormat="false" ht="15" hidden="false" customHeight="false" outlineLevel="0" collapsed="false">
      <c r="A6" s="21" t="s">
        <v>61</v>
      </c>
      <c r="B6" s="21" t="s">
        <v>60</v>
      </c>
      <c r="C6" s="22" t="n">
        <v>150</v>
      </c>
    </row>
    <row r="7" customFormat="false" ht="15" hidden="false" customHeight="false" outlineLevel="0" collapsed="false">
      <c r="A7" s="21" t="s">
        <v>62</v>
      </c>
      <c r="B7" s="21" t="s">
        <v>63</v>
      </c>
      <c r="C7" s="22" t="n">
        <v>7</v>
      </c>
    </row>
    <row r="8" customFormat="false" ht="15" hidden="false" customHeight="false" outlineLevel="0" collapsed="false">
      <c r="A8" s="21" t="s">
        <v>64</v>
      </c>
      <c r="B8" s="21" t="s">
        <v>63</v>
      </c>
      <c r="C8" s="22" t="n">
        <v>15</v>
      </c>
    </row>
    <row r="9" customFormat="false" ht="15" hidden="false" customHeight="false" outlineLevel="0" collapsed="false">
      <c r="A9" s="21" t="s">
        <v>65</v>
      </c>
      <c r="B9" s="21" t="s">
        <v>60</v>
      </c>
      <c r="C9" s="22" t="n">
        <v>200</v>
      </c>
    </row>
    <row r="10" customFormat="false" ht="15" hidden="false" customHeight="false" outlineLevel="0" collapsed="false">
      <c r="A10" s="21" t="s">
        <v>66</v>
      </c>
      <c r="B10" s="21" t="s">
        <v>63</v>
      </c>
      <c r="C10" s="22" t="n">
        <v>40</v>
      </c>
    </row>
    <row r="11" customFormat="false" ht="15" hidden="false" customHeight="false" outlineLevel="0" collapsed="false">
      <c r="A11" s="21"/>
      <c r="B11" s="21"/>
      <c r="C11" s="22"/>
    </row>
    <row r="12" customFormat="false" ht="15" hidden="false" customHeight="false" outlineLevel="0" collapsed="false">
      <c r="A12" s="21"/>
      <c r="B12" s="21"/>
      <c r="C12" s="22"/>
    </row>
  </sheetData>
  <sheetProtection sheet="true" password="ee36" formatCells="false" formatColumns="false" formatRows="false" insertRows="false" selectLockedCells="true" selectUnlockedCells="true"/>
  <mergeCells count="1">
    <mergeCell ref="A2:C2"/>
  </mergeCells>
  <dataValidations count="1">
    <dataValidation allowBlank="true" errorStyle="stop" operator="between" showDropDown="false" showErrorMessage="false" showInputMessage="false" sqref="B5:B12" type="list">
      <formula1>"Servicios,Productos digitales,Productos físicos,Otros"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3"/>
  </cols>
  <sheetData>
    <row r="2" customFormat="false" ht="25.5" hidden="false" customHeight="true" outlineLevel="0" collapsed="false">
      <c r="A2" s="8" t="s">
        <v>67</v>
      </c>
      <c r="B2" s="8"/>
    </row>
    <row r="4" customFormat="false" ht="19.5" hidden="false" customHeight="true" outlineLevel="0" collapsed="false">
      <c r="A4" s="10" t="s">
        <v>68</v>
      </c>
      <c r="B4" s="10" t="s">
        <v>69</v>
      </c>
    </row>
    <row r="5" customFormat="false" ht="15" hidden="false" customHeight="false" outlineLevel="0" collapsed="false">
      <c r="A5" s="21" t="s">
        <v>70</v>
      </c>
      <c r="B5" s="21" t="s">
        <v>71</v>
      </c>
    </row>
    <row r="6" customFormat="false" ht="15" hidden="false" customHeight="false" outlineLevel="0" collapsed="false">
      <c r="A6" s="21" t="s">
        <v>72</v>
      </c>
      <c r="B6" s="21" t="s">
        <v>73</v>
      </c>
    </row>
    <row r="7" customFormat="false" ht="15" hidden="false" customHeight="false" outlineLevel="0" collapsed="false">
      <c r="A7" s="21" t="s">
        <v>74</v>
      </c>
      <c r="B7" s="21" t="s">
        <v>75</v>
      </c>
    </row>
    <row r="8" customFormat="false" ht="15" hidden="false" customHeight="false" outlineLevel="0" collapsed="false">
      <c r="A8" s="21" t="s">
        <v>76</v>
      </c>
      <c r="B8" s="21" t="s">
        <v>77</v>
      </c>
    </row>
    <row r="9" customFormat="false" ht="15" hidden="false" customHeight="false" outlineLevel="0" collapsed="false">
      <c r="A9" s="21" t="s">
        <v>78</v>
      </c>
      <c r="B9" s="21" t="s">
        <v>79</v>
      </c>
    </row>
    <row r="10" customFormat="false" ht="15" hidden="false" customHeight="false" outlineLevel="0" collapsed="false">
      <c r="A10" s="21"/>
      <c r="B10" s="21"/>
    </row>
    <row r="11" customFormat="false" ht="15" hidden="false" customHeight="false" outlineLevel="0" collapsed="false">
      <c r="A11" s="21"/>
      <c r="B11" s="21"/>
    </row>
  </sheetData>
  <sheetProtection sheet="true" password="ee36" formatCells="false" formatColumns="false" formatRows="false" insertRows="false" selectLockedCells="true" selectUnlockedCells="true"/>
  <mergeCells count="1">
    <mergeCell ref="A2:B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2"/>
  </cols>
  <sheetData>
    <row r="2" customFormat="false" ht="25.5" hidden="false" customHeight="true" outlineLevel="0" collapsed="false">
      <c r="A2" s="8" t="s">
        <v>80</v>
      </c>
      <c r="B2" s="8"/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A3" s="7" t="s">
        <v>81</v>
      </c>
      <c r="B3" s="7"/>
      <c r="C3" s="7"/>
      <c r="D3" s="7"/>
      <c r="E3" s="7"/>
      <c r="F3" s="7"/>
      <c r="G3" s="7"/>
      <c r="H3" s="7"/>
    </row>
    <row r="4" customFormat="false" ht="25.5" hidden="false" customHeight="true" outlineLevel="0" collapsed="false">
      <c r="A4" s="10" t="s">
        <v>82</v>
      </c>
      <c r="B4" s="10" t="s">
        <v>68</v>
      </c>
      <c r="C4" s="10" t="s">
        <v>56</v>
      </c>
      <c r="D4" s="10" t="s">
        <v>83</v>
      </c>
      <c r="E4" s="10" t="s">
        <v>58</v>
      </c>
      <c r="F4" s="10" t="s">
        <v>84</v>
      </c>
      <c r="G4" s="10" t="s">
        <v>85</v>
      </c>
      <c r="H4" s="10" t="s">
        <v>86</v>
      </c>
    </row>
    <row r="5" customFormat="false" ht="15" hidden="false" customHeight="false" outlineLevel="0" collapsed="false">
      <c r="A5" s="23" t="n">
        <v>46027</v>
      </c>
      <c r="B5" s="21" t="s">
        <v>70</v>
      </c>
      <c r="C5" s="21" t="s">
        <v>62</v>
      </c>
      <c r="D5" s="24" t="n">
        <v>1</v>
      </c>
      <c r="E5" s="25" t="n">
        <f aca="false">IF(C5="","",IFERROR(INDEX(Catalogo!$C$5:$C$12,MATCH(C5,Catalogo!$A$5:$A$12,0)),0))</f>
        <v>7</v>
      </c>
      <c r="F5" s="25" t="n">
        <f aca="false">IF(OR(C5="",D5=""),"",D5*E5)</f>
        <v>7</v>
      </c>
      <c r="G5" s="21" t="s">
        <v>87</v>
      </c>
      <c r="H5" s="21" t="s">
        <v>88</v>
      </c>
    </row>
    <row r="6" customFormat="false" ht="15" hidden="false" customHeight="false" outlineLevel="0" collapsed="false">
      <c r="A6" s="23" t="n">
        <v>46030</v>
      </c>
      <c r="B6" s="21" t="s">
        <v>72</v>
      </c>
      <c r="C6" s="21" t="s">
        <v>59</v>
      </c>
      <c r="D6" s="24" t="n">
        <v>3</v>
      </c>
      <c r="E6" s="25" t="n">
        <f aca="false">IF(C6="","",IFERROR(INDEX(Catalogo!$C$5:$C$12,MATCH(C6,Catalogo!$A$5:$A$12,0)),0))</f>
        <v>45</v>
      </c>
      <c r="F6" s="25" t="n">
        <f aca="false">IF(OR(C6="",D6=""),"",D6*E6)</f>
        <v>135</v>
      </c>
      <c r="G6" s="21" t="s">
        <v>89</v>
      </c>
      <c r="H6" s="21" t="s">
        <v>88</v>
      </c>
    </row>
    <row r="7" customFormat="false" ht="15" hidden="false" customHeight="false" outlineLevel="0" collapsed="false">
      <c r="A7" s="23" t="n">
        <v>46034</v>
      </c>
      <c r="B7" s="21" t="s">
        <v>74</v>
      </c>
      <c r="C7" s="21" t="s">
        <v>61</v>
      </c>
      <c r="D7" s="24" t="n">
        <v>1</v>
      </c>
      <c r="E7" s="25" t="n">
        <f aca="false">IF(C7="","",IFERROR(INDEX(Catalogo!$C$5:$C$12,MATCH(C7,Catalogo!$A$5:$A$12,0)),0))</f>
        <v>150</v>
      </c>
      <c r="F7" s="25" t="n">
        <f aca="false">IF(OR(C7="",D7=""),"",D7*E7)</f>
        <v>150</v>
      </c>
      <c r="G7" s="21" t="s">
        <v>87</v>
      </c>
      <c r="H7" s="21" t="s">
        <v>90</v>
      </c>
    </row>
    <row r="8" customFormat="false" ht="15" hidden="false" customHeight="false" outlineLevel="0" collapsed="false">
      <c r="A8" s="23" t="n">
        <v>46040</v>
      </c>
      <c r="B8" s="21" t="s">
        <v>76</v>
      </c>
      <c r="C8" s="21" t="s">
        <v>64</v>
      </c>
      <c r="D8" s="24" t="n">
        <v>2</v>
      </c>
      <c r="E8" s="25" t="n">
        <f aca="false">IF(C8="","",IFERROR(INDEX(Catalogo!$C$5:$C$12,MATCH(C8,Catalogo!$A$5:$A$12,0)),0))</f>
        <v>15</v>
      </c>
      <c r="F8" s="25" t="n">
        <f aca="false">IF(OR(C8="",D8=""),"",D8*E8)</f>
        <v>30</v>
      </c>
      <c r="G8" s="21" t="s">
        <v>91</v>
      </c>
      <c r="H8" s="21" t="s">
        <v>88</v>
      </c>
    </row>
    <row r="9" customFormat="false" ht="15" hidden="false" customHeight="false" outlineLevel="0" collapsed="false">
      <c r="A9" s="23" t="n">
        <v>46047</v>
      </c>
      <c r="B9" s="21" t="s">
        <v>78</v>
      </c>
      <c r="C9" s="21" t="s">
        <v>65</v>
      </c>
      <c r="D9" s="24" t="n">
        <v>1</v>
      </c>
      <c r="E9" s="25" t="n">
        <f aca="false">IF(C9="","",IFERROR(INDEX(Catalogo!$C$5:$C$12,MATCH(C9,Catalogo!$A$5:$A$12,0)),0))</f>
        <v>200</v>
      </c>
      <c r="F9" s="25" t="n">
        <f aca="false">IF(OR(C9="",D9=""),"",D9*E9)</f>
        <v>200</v>
      </c>
      <c r="G9" s="21" t="s">
        <v>87</v>
      </c>
      <c r="H9" s="21" t="s">
        <v>88</v>
      </c>
    </row>
    <row r="10" customFormat="false" ht="15" hidden="false" customHeight="false" outlineLevel="0" collapsed="false">
      <c r="A10" s="23" t="n">
        <v>46055</v>
      </c>
      <c r="B10" s="21" t="s">
        <v>70</v>
      </c>
      <c r="C10" s="21" t="s">
        <v>66</v>
      </c>
      <c r="D10" s="24" t="n">
        <v>1</v>
      </c>
      <c r="E10" s="25" t="n">
        <f aca="false">IF(C10="","",IFERROR(INDEX(Catalogo!$C$5:$C$12,MATCH(C10,Catalogo!$A$5:$A$12,0)),0))</f>
        <v>40</v>
      </c>
      <c r="F10" s="25" t="n">
        <f aca="false">IF(OR(C10="",D10=""),"",D10*E10)</f>
        <v>40</v>
      </c>
      <c r="G10" s="21" t="s">
        <v>89</v>
      </c>
      <c r="H10" s="21" t="s">
        <v>88</v>
      </c>
    </row>
    <row r="11" customFormat="false" ht="15" hidden="false" customHeight="false" outlineLevel="0" collapsed="false">
      <c r="A11" s="23" t="n">
        <v>46059</v>
      </c>
      <c r="B11" s="21" t="s">
        <v>72</v>
      </c>
      <c r="C11" s="21" t="s">
        <v>62</v>
      </c>
      <c r="D11" s="24" t="n">
        <v>3</v>
      </c>
      <c r="E11" s="25" t="n">
        <f aca="false">IF(C11="","",IFERROR(INDEX(Catalogo!$C$5:$C$12,MATCH(C11,Catalogo!$A$5:$A$12,0)),0))</f>
        <v>7</v>
      </c>
      <c r="F11" s="25" t="n">
        <f aca="false">IF(OR(C11="",D11=""),"",D11*E11)</f>
        <v>21</v>
      </c>
      <c r="G11" s="21" t="s">
        <v>91</v>
      </c>
      <c r="H11" s="21" t="s">
        <v>88</v>
      </c>
    </row>
    <row r="12" customFormat="false" ht="15" hidden="false" customHeight="false" outlineLevel="0" collapsed="false">
      <c r="A12" s="23" t="n">
        <v>46067</v>
      </c>
      <c r="B12" s="21" t="s">
        <v>74</v>
      </c>
      <c r="C12" s="21" t="s">
        <v>59</v>
      </c>
      <c r="D12" s="24" t="n">
        <v>5</v>
      </c>
      <c r="E12" s="25" t="n">
        <f aca="false">IF(C12="","",IFERROR(INDEX(Catalogo!$C$5:$C$12,MATCH(C12,Catalogo!$A$5:$A$12,0)),0))</f>
        <v>45</v>
      </c>
      <c r="F12" s="25" t="n">
        <f aca="false">IF(OR(C12="",D12=""),"",D12*E12)</f>
        <v>225</v>
      </c>
      <c r="G12" s="21" t="s">
        <v>87</v>
      </c>
      <c r="H12" s="21" t="s">
        <v>90</v>
      </c>
    </row>
    <row r="13" customFormat="false" ht="15" hidden="false" customHeight="false" outlineLevel="0" collapsed="false">
      <c r="A13" s="23" t="n">
        <v>46073</v>
      </c>
      <c r="B13" s="21" t="s">
        <v>76</v>
      </c>
      <c r="C13" s="21" t="s">
        <v>61</v>
      </c>
      <c r="D13" s="24" t="n">
        <v>1</v>
      </c>
      <c r="E13" s="25" t="n">
        <f aca="false">IF(C13="","",IFERROR(INDEX(Catalogo!$C$5:$C$12,MATCH(C13,Catalogo!$A$5:$A$12,0)),0))</f>
        <v>150</v>
      </c>
      <c r="F13" s="25" t="n">
        <f aca="false">IF(OR(C13="",D13=""),"",D13*E13)</f>
        <v>150</v>
      </c>
      <c r="G13" s="21" t="s">
        <v>89</v>
      </c>
      <c r="H13" s="21" t="s">
        <v>88</v>
      </c>
    </row>
    <row r="14" customFormat="false" ht="15" hidden="false" customHeight="false" outlineLevel="0" collapsed="false">
      <c r="A14" s="23" t="n">
        <v>46084</v>
      </c>
      <c r="B14" s="21" t="s">
        <v>78</v>
      </c>
      <c r="C14" s="21" t="s">
        <v>65</v>
      </c>
      <c r="D14" s="24" t="n">
        <v>1</v>
      </c>
      <c r="E14" s="25" t="n">
        <f aca="false">IF(C14="","",IFERROR(INDEX(Catalogo!$C$5:$C$12,MATCH(C14,Catalogo!$A$5:$A$12,0)),0))</f>
        <v>200</v>
      </c>
      <c r="F14" s="25" t="n">
        <f aca="false">IF(OR(C14="",D14=""),"",D14*E14)</f>
        <v>200</v>
      </c>
      <c r="G14" s="21" t="s">
        <v>87</v>
      </c>
      <c r="H14" s="21" t="s">
        <v>88</v>
      </c>
    </row>
    <row r="15" customFormat="false" ht="15" hidden="false" customHeight="false" outlineLevel="0" collapsed="false">
      <c r="A15" s="23" t="n">
        <v>46090</v>
      </c>
      <c r="B15" s="21" t="s">
        <v>70</v>
      </c>
      <c r="C15" s="21" t="s">
        <v>64</v>
      </c>
      <c r="D15" s="24" t="n">
        <v>1</v>
      </c>
      <c r="E15" s="25" t="n">
        <f aca="false">IF(C15="","",IFERROR(INDEX(Catalogo!$C$5:$C$12,MATCH(C15,Catalogo!$A$5:$A$12,0)),0))</f>
        <v>15</v>
      </c>
      <c r="F15" s="25" t="n">
        <f aca="false">IF(OR(C15="",D15=""),"",D15*E15)</f>
        <v>15</v>
      </c>
      <c r="G15" s="21" t="s">
        <v>91</v>
      </c>
      <c r="H15" s="21" t="s">
        <v>88</v>
      </c>
    </row>
    <row r="16" customFormat="false" ht="15" hidden="false" customHeight="false" outlineLevel="0" collapsed="false">
      <c r="A16" s="23" t="n">
        <v>46096</v>
      </c>
      <c r="B16" s="21" t="s">
        <v>72</v>
      </c>
      <c r="C16" s="21" t="s">
        <v>66</v>
      </c>
      <c r="D16" s="24" t="n">
        <v>2</v>
      </c>
      <c r="E16" s="25" t="n">
        <f aca="false">IF(C16="","",IFERROR(INDEX(Catalogo!$C$5:$C$12,MATCH(C16,Catalogo!$A$5:$A$12,0)),0))</f>
        <v>40</v>
      </c>
      <c r="F16" s="25" t="n">
        <f aca="false">IF(OR(C16="",D16=""),"",D16*E16)</f>
        <v>80</v>
      </c>
      <c r="G16" s="21" t="s">
        <v>89</v>
      </c>
      <c r="H16" s="21" t="s">
        <v>90</v>
      </c>
    </row>
    <row r="17" customFormat="false" ht="15" hidden="false" customHeight="false" outlineLevel="0" collapsed="false">
      <c r="A17" s="23"/>
      <c r="B17" s="21"/>
      <c r="C17" s="21"/>
      <c r="D17" s="24"/>
      <c r="E17" s="25" t="str">
        <f aca="false">IF(C17="","",IFERROR(INDEX(Catalogo!$C$5:$C$12,MATCH(C17,Catalogo!$A$5:$A$12,0)),0))</f>
        <v/>
      </c>
      <c r="F17" s="25" t="str">
        <f aca="false">IF(OR(C17="",D17=""),"",D17*E17)</f>
        <v/>
      </c>
      <c r="G17" s="21"/>
      <c r="H17" s="21"/>
    </row>
    <row r="18" customFormat="false" ht="15" hidden="false" customHeight="false" outlineLevel="0" collapsed="false">
      <c r="A18" s="23"/>
      <c r="B18" s="21"/>
      <c r="C18" s="21"/>
      <c r="D18" s="24"/>
      <c r="E18" s="25" t="str">
        <f aca="false">IF(C18="","",IFERROR(INDEX(Catalogo!$C$5:$C$12,MATCH(C18,Catalogo!$A$5:$A$12,0)),0))</f>
        <v/>
      </c>
      <c r="F18" s="25" t="str">
        <f aca="false">IF(OR(C18="",D18=""),"",D18*E18)</f>
        <v/>
      </c>
      <c r="G18" s="21"/>
      <c r="H18" s="21"/>
    </row>
    <row r="19" customFormat="false" ht="15" hidden="false" customHeight="false" outlineLevel="0" collapsed="false">
      <c r="A19" s="23"/>
      <c r="B19" s="21"/>
      <c r="C19" s="21"/>
      <c r="D19" s="24"/>
      <c r="E19" s="25" t="str">
        <f aca="false">IF(C19="","",IFERROR(INDEX(Catalogo!$C$5:$C$12,MATCH(C19,Catalogo!$A$5:$A$12,0)),0))</f>
        <v/>
      </c>
      <c r="F19" s="25" t="str">
        <f aca="false">IF(OR(C19="",D19=""),"",D19*E19)</f>
        <v/>
      </c>
      <c r="G19" s="21"/>
      <c r="H19" s="21"/>
    </row>
    <row r="20" customFormat="false" ht="15" hidden="false" customHeight="false" outlineLevel="0" collapsed="false">
      <c r="A20" s="23"/>
      <c r="B20" s="21"/>
      <c r="C20" s="21"/>
      <c r="D20" s="24"/>
      <c r="E20" s="25" t="str">
        <f aca="false">IF(C20="","",IFERROR(INDEX(Catalogo!$C$5:$C$12,MATCH(C20,Catalogo!$A$5:$A$12,0)),0))</f>
        <v/>
      </c>
      <c r="F20" s="25" t="str">
        <f aca="false">IF(OR(C20="",D20=""),"",D20*E20)</f>
        <v/>
      </c>
      <c r="G20" s="21"/>
      <c r="H20" s="21"/>
    </row>
    <row r="21" customFormat="false" ht="15" hidden="false" customHeight="false" outlineLevel="0" collapsed="false">
      <c r="A21" s="23"/>
      <c r="B21" s="21"/>
      <c r="C21" s="21"/>
      <c r="D21" s="24"/>
      <c r="E21" s="25" t="str">
        <f aca="false">IF(C21="","",IFERROR(INDEX(Catalogo!$C$5:$C$12,MATCH(C21,Catalogo!$A$5:$A$12,0)),0))</f>
        <v/>
      </c>
      <c r="F21" s="25" t="str">
        <f aca="false">IF(OR(C21="",D21=""),"",D21*E21)</f>
        <v/>
      </c>
      <c r="G21" s="21"/>
      <c r="H21" s="21"/>
    </row>
    <row r="22" customFormat="false" ht="15" hidden="false" customHeight="false" outlineLevel="0" collapsed="false">
      <c r="A22" s="23"/>
      <c r="B22" s="21"/>
      <c r="C22" s="21"/>
      <c r="D22" s="24"/>
      <c r="E22" s="25" t="str">
        <f aca="false">IF(C22="","",IFERROR(INDEX(Catalogo!$C$5:$C$12,MATCH(C22,Catalogo!$A$5:$A$12,0)),0))</f>
        <v/>
      </c>
      <c r="F22" s="25" t="str">
        <f aca="false">IF(OR(C22="",D22=""),"",D22*E22)</f>
        <v/>
      </c>
      <c r="G22" s="21"/>
      <c r="H22" s="21"/>
    </row>
    <row r="23" customFormat="false" ht="15" hidden="false" customHeight="false" outlineLevel="0" collapsed="false">
      <c r="A23" s="23"/>
      <c r="B23" s="21"/>
      <c r="C23" s="21"/>
      <c r="D23" s="24"/>
      <c r="E23" s="25" t="str">
        <f aca="false">IF(C23="","",IFERROR(INDEX(Catalogo!$C$5:$C$12,MATCH(C23,Catalogo!$A$5:$A$12,0)),0))</f>
        <v/>
      </c>
      <c r="F23" s="25" t="str">
        <f aca="false">IF(OR(C23="",D23=""),"",D23*E23)</f>
        <v/>
      </c>
      <c r="G23" s="21"/>
      <c r="H23" s="21"/>
    </row>
    <row r="24" customFormat="false" ht="15" hidden="false" customHeight="false" outlineLevel="0" collapsed="false">
      <c r="A24" s="23"/>
      <c r="B24" s="21"/>
      <c r="C24" s="21"/>
      <c r="D24" s="24"/>
      <c r="E24" s="25" t="str">
        <f aca="false">IF(C24="","",IFERROR(INDEX(Catalogo!$C$5:$C$12,MATCH(C24,Catalogo!$A$5:$A$12,0)),0))</f>
        <v/>
      </c>
      <c r="F24" s="25" t="str">
        <f aca="false">IF(OR(C24="",D24=""),"",D24*E24)</f>
        <v/>
      </c>
      <c r="G24" s="21"/>
      <c r="H24" s="21"/>
    </row>
    <row r="25" customFormat="false" ht="15" hidden="false" customHeight="false" outlineLevel="0" collapsed="false">
      <c r="A25" s="23"/>
      <c r="B25" s="21"/>
      <c r="C25" s="21"/>
      <c r="D25" s="24"/>
      <c r="E25" s="25" t="str">
        <f aca="false">IF(C25="","",IFERROR(INDEX(Catalogo!$C$5:$C$12,MATCH(C25,Catalogo!$A$5:$A$12,0)),0))</f>
        <v/>
      </c>
      <c r="F25" s="25" t="str">
        <f aca="false">IF(OR(C25="",D25=""),"",D25*E25)</f>
        <v/>
      </c>
      <c r="G25" s="21"/>
      <c r="H25" s="21"/>
    </row>
    <row r="26" customFormat="false" ht="15" hidden="false" customHeight="false" outlineLevel="0" collapsed="false">
      <c r="A26" s="23"/>
      <c r="B26" s="21"/>
      <c r="C26" s="21"/>
      <c r="D26" s="24"/>
      <c r="E26" s="25" t="str">
        <f aca="false">IF(C26="","",IFERROR(INDEX(Catalogo!$C$5:$C$12,MATCH(C26,Catalogo!$A$5:$A$12,0)),0))</f>
        <v/>
      </c>
      <c r="F26" s="25" t="str">
        <f aca="false">IF(OR(C26="",D26=""),"",D26*E26)</f>
        <v/>
      </c>
      <c r="G26" s="21"/>
      <c r="H26" s="21"/>
    </row>
    <row r="27" customFormat="false" ht="15" hidden="false" customHeight="false" outlineLevel="0" collapsed="false">
      <c r="A27" s="23"/>
      <c r="B27" s="21"/>
      <c r="C27" s="21"/>
      <c r="D27" s="24"/>
      <c r="E27" s="25" t="str">
        <f aca="false">IF(C27="","",IFERROR(INDEX(Catalogo!$C$5:$C$12,MATCH(C27,Catalogo!$A$5:$A$12,0)),0))</f>
        <v/>
      </c>
      <c r="F27" s="25" t="str">
        <f aca="false">IF(OR(C27="",D27=""),"",D27*E27)</f>
        <v/>
      </c>
      <c r="G27" s="21"/>
      <c r="H27" s="21"/>
    </row>
    <row r="28" customFormat="false" ht="15" hidden="false" customHeight="false" outlineLevel="0" collapsed="false">
      <c r="A28" s="23"/>
      <c r="B28" s="21"/>
      <c r="C28" s="21"/>
      <c r="D28" s="24"/>
      <c r="E28" s="25" t="str">
        <f aca="false">IF(C28="","",IFERROR(INDEX(Catalogo!$C$5:$C$12,MATCH(C28,Catalogo!$A$5:$A$12,0)),0))</f>
        <v/>
      </c>
      <c r="F28" s="25" t="str">
        <f aca="false">IF(OR(C28="",D28=""),"",D28*E28)</f>
        <v/>
      </c>
      <c r="G28" s="21"/>
      <c r="H28" s="21"/>
    </row>
    <row r="29" customFormat="false" ht="15" hidden="false" customHeight="false" outlineLevel="0" collapsed="false">
      <c r="A29" s="23"/>
      <c r="B29" s="21"/>
      <c r="C29" s="21"/>
      <c r="D29" s="24"/>
      <c r="E29" s="25" t="str">
        <f aca="false">IF(C29="","",IFERROR(INDEX(Catalogo!$C$5:$C$12,MATCH(C29,Catalogo!$A$5:$A$12,0)),0))</f>
        <v/>
      </c>
      <c r="F29" s="25" t="str">
        <f aca="false">IF(OR(C29="",D29=""),"",D29*E29)</f>
        <v/>
      </c>
      <c r="G29" s="21"/>
      <c r="H29" s="21"/>
    </row>
    <row r="30" customFormat="false" ht="15" hidden="false" customHeight="false" outlineLevel="0" collapsed="false">
      <c r="A30" s="23"/>
      <c r="B30" s="21"/>
      <c r="C30" s="21"/>
      <c r="D30" s="24"/>
      <c r="E30" s="25" t="str">
        <f aca="false">IF(C30="","",IFERROR(INDEX(Catalogo!$C$5:$C$12,MATCH(C30,Catalogo!$A$5:$A$12,0)),0))</f>
        <v/>
      </c>
      <c r="F30" s="25" t="str">
        <f aca="false">IF(OR(C30="",D30=""),"",D30*E30)</f>
        <v/>
      </c>
      <c r="G30" s="21"/>
      <c r="H30" s="21"/>
    </row>
    <row r="31" customFormat="false" ht="15" hidden="false" customHeight="false" outlineLevel="0" collapsed="false">
      <c r="A31" s="23"/>
      <c r="B31" s="21"/>
      <c r="C31" s="21"/>
      <c r="D31" s="24"/>
      <c r="E31" s="25" t="str">
        <f aca="false">IF(C31="","",IFERROR(INDEX(Catalogo!$C$5:$C$12,MATCH(C31,Catalogo!$A$5:$A$12,0)),0))</f>
        <v/>
      </c>
      <c r="F31" s="25" t="str">
        <f aca="false">IF(OR(C31="",D31=""),"",D31*E31)</f>
        <v/>
      </c>
      <c r="G31" s="21"/>
      <c r="H31" s="21"/>
    </row>
    <row r="32" customFormat="false" ht="15" hidden="false" customHeight="false" outlineLevel="0" collapsed="false">
      <c r="A32" s="23"/>
      <c r="B32" s="21"/>
      <c r="C32" s="21"/>
      <c r="D32" s="24"/>
      <c r="E32" s="25" t="str">
        <f aca="false">IF(C32="","",IFERROR(INDEX(Catalogo!$C$5:$C$12,MATCH(C32,Catalogo!$A$5:$A$12,0)),0))</f>
        <v/>
      </c>
      <c r="F32" s="25" t="str">
        <f aca="false">IF(OR(C32="",D32=""),"",D32*E32)</f>
        <v/>
      </c>
      <c r="G32" s="21"/>
      <c r="H32" s="21"/>
    </row>
    <row r="33" customFormat="false" ht="15" hidden="false" customHeight="false" outlineLevel="0" collapsed="false">
      <c r="A33" s="23"/>
      <c r="B33" s="21"/>
      <c r="C33" s="21"/>
      <c r="D33" s="24"/>
      <c r="E33" s="25" t="str">
        <f aca="false">IF(C33="","",IFERROR(INDEX(Catalogo!$C$5:$C$12,MATCH(C33,Catalogo!$A$5:$A$12,0)),0))</f>
        <v/>
      </c>
      <c r="F33" s="25" t="str">
        <f aca="false">IF(OR(C33="",D33=""),"",D33*E33)</f>
        <v/>
      </c>
      <c r="G33" s="21"/>
      <c r="H33" s="21"/>
    </row>
    <row r="34" customFormat="false" ht="15" hidden="false" customHeight="false" outlineLevel="0" collapsed="false">
      <c r="A34" s="23"/>
      <c r="B34" s="21"/>
      <c r="C34" s="21"/>
      <c r="D34" s="24"/>
      <c r="E34" s="25" t="str">
        <f aca="false">IF(C34="","",IFERROR(INDEX(Catalogo!$C$5:$C$12,MATCH(C34,Catalogo!$A$5:$A$12,0)),0))</f>
        <v/>
      </c>
      <c r="F34" s="25" t="str">
        <f aca="false">IF(OR(C34="",D34=""),"",D34*E34)</f>
        <v/>
      </c>
      <c r="G34" s="21"/>
      <c r="H34" s="21"/>
    </row>
    <row r="35" customFormat="false" ht="15" hidden="false" customHeight="false" outlineLevel="0" collapsed="false">
      <c r="A35" s="23"/>
      <c r="B35" s="21"/>
      <c r="C35" s="21"/>
      <c r="D35" s="24"/>
      <c r="E35" s="25" t="str">
        <f aca="false">IF(C35="","",IFERROR(INDEX(Catalogo!$C$5:$C$12,MATCH(C35,Catalogo!$A$5:$A$12,0)),0))</f>
        <v/>
      </c>
      <c r="F35" s="25" t="str">
        <f aca="false">IF(OR(C35="",D35=""),"",D35*E35)</f>
        <v/>
      </c>
      <c r="G35" s="21"/>
      <c r="H35" s="21"/>
    </row>
    <row r="36" customFormat="false" ht="15" hidden="false" customHeight="false" outlineLevel="0" collapsed="false">
      <c r="A36" s="23"/>
      <c r="B36" s="21"/>
      <c r="C36" s="21"/>
      <c r="D36" s="24"/>
      <c r="E36" s="25" t="str">
        <f aca="false">IF(C36="","",IFERROR(INDEX(Catalogo!$C$5:$C$12,MATCH(C36,Catalogo!$A$5:$A$12,0)),0))</f>
        <v/>
      </c>
      <c r="F36" s="25" t="str">
        <f aca="false">IF(OR(C36="",D36=""),"",D36*E36)</f>
        <v/>
      </c>
      <c r="G36" s="21"/>
      <c r="H36" s="21"/>
    </row>
    <row r="37" customFormat="false" ht="15" hidden="false" customHeight="false" outlineLevel="0" collapsed="false">
      <c r="A37" s="23"/>
      <c r="B37" s="21"/>
      <c r="C37" s="21"/>
      <c r="D37" s="24"/>
      <c r="E37" s="25" t="str">
        <f aca="false">IF(C37="","",IFERROR(INDEX(Catalogo!$C$5:$C$12,MATCH(C37,Catalogo!$A$5:$A$12,0)),0))</f>
        <v/>
      </c>
      <c r="F37" s="25" t="str">
        <f aca="false">IF(OR(C37="",D37=""),"",D37*E37)</f>
        <v/>
      </c>
      <c r="G37" s="21"/>
      <c r="H37" s="21"/>
    </row>
    <row r="38" customFormat="false" ht="15" hidden="false" customHeight="false" outlineLevel="0" collapsed="false">
      <c r="A38" s="23"/>
      <c r="B38" s="21"/>
      <c r="C38" s="21"/>
      <c r="D38" s="24"/>
      <c r="E38" s="25" t="str">
        <f aca="false">IF(C38="","",IFERROR(INDEX(Catalogo!$C$5:$C$12,MATCH(C38,Catalogo!$A$5:$A$12,0)),0))</f>
        <v/>
      </c>
      <c r="F38" s="25" t="str">
        <f aca="false">IF(OR(C38="",D38=""),"",D38*E38)</f>
        <v/>
      </c>
      <c r="G38" s="21"/>
      <c r="H38" s="21"/>
    </row>
    <row r="39" customFormat="false" ht="15" hidden="false" customHeight="false" outlineLevel="0" collapsed="false">
      <c r="A39" s="23"/>
      <c r="B39" s="21"/>
      <c r="C39" s="21"/>
      <c r="D39" s="24"/>
      <c r="E39" s="25" t="str">
        <f aca="false">IF(C39="","",IFERROR(INDEX(Catalogo!$C$5:$C$12,MATCH(C39,Catalogo!$A$5:$A$12,0)),0))</f>
        <v/>
      </c>
      <c r="F39" s="25" t="str">
        <f aca="false">IF(OR(C39="",D39=""),"",D39*E39)</f>
        <v/>
      </c>
      <c r="G39" s="21"/>
      <c r="H39" s="21"/>
    </row>
    <row r="40" customFormat="false" ht="15" hidden="false" customHeight="false" outlineLevel="0" collapsed="false">
      <c r="A40" s="23"/>
      <c r="B40" s="21"/>
      <c r="C40" s="21"/>
      <c r="D40" s="24"/>
      <c r="E40" s="25" t="str">
        <f aca="false">IF(C40="","",IFERROR(INDEX(Catalogo!$C$5:$C$12,MATCH(C40,Catalogo!$A$5:$A$12,0)),0))</f>
        <v/>
      </c>
      <c r="F40" s="25" t="str">
        <f aca="false">IF(OR(C40="",D40=""),"",D40*E40)</f>
        <v/>
      </c>
      <c r="G40" s="21"/>
      <c r="H40" s="21"/>
    </row>
    <row r="41" customFormat="false" ht="15" hidden="false" customHeight="false" outlineLevel="0" collapsed="false">
      <c r="A41" s="23"/>
      <c r="B41" s="21"/>
      <c r="C41" s="21"/>
      <c r="D41" s="24"/>
      <c r="E41" s="25" t="str">
        <f aca="false">IF(C41="","",IFERROR(INDEX(Catalogo!$C$5:$C$12,MATCH(C41,Catalogo!$A$5:$A$12,0)),0))</f>
        <v/>
      </c>
      <c r="F41" s="25" t="str">
        <f aca="false">IF(OR(C41="",D41=""),"",D41*E41)</f>
        <v/>
      </c>
      <c r="G41" s="21"/>
      <c r="H41" s="21"/>
    </row>
    <row r="42" customFormat="false" ht="15" hidden="false" customHeight="false" outlineLevel="0" collapsed="false">
      <c r="A42" s="23"/>
      <c r="B42" s="21"/>
      <c r="C42" s="21"/>
      <c r="D42" s="24"/>
      <c r="E42" s="25" t="str">
        <f aca="false">IF(C42="","",IFERROR(INDEX(Catalogo!$C$5:$C$12,MATCH(C42,Catalogo!$A$5:$A$12,0)),0))</f>
        <v/>
      </c>
      <c r="F42" s="25" t="str">
        <f aca="false">IF(OR(C42="",D42=""),"",D42*E42)</f>
        <v/>
      </c>
      <c r="G42" s="21"/>
      <c r="H42" s="21"/>
    </row>
    <row r="43" customFormat="false" ht="15" hidden="false" customHeight="false" outlineLevel="0" collapsed="false">
      <c r="A43" s="23"/>
      <c r="B43" s="21"/>
      <c r="C43" s="21"/>
      <c r="D43" s="24"/>
      <c r="E43" s="25" t="str">
        <f aca="false">IF(C43="","",IFERROR(INDEX(Catalogo!$C$5:$C$12,MATCH(C43,Catalogo!$A$5:$A$12,0)),0))</f>
        <v/>
      </c>
      <c r="F43" s="25" t="str">
        <f aca="false">IF(OR(C43="",D43=""),"",D43*E43)</f>
        <v/>
      </c>
      <c r="G43" s="21"/>
      <c r="H43" s="21"/>
    </row>
    <row r="44" customFormat="false" ht="15" hidden="false" customHeight="false" outlineLevel="0" collapsed="false">
      <c r="A44" s="23"/>
      <c r="B44" s="21"/>
      <c r="C44" s="21"/>
      <c r="D44" s="24"/>
      <c r="E44" s="25" t="str">
        <f aca="false">IF(C44="","",IFERROR(INDEX(Catalogo!$C$5:$C$12,MATCH(C44,Catalogo!$A$5:$A$12,0)),0))</f>
        <v/>
      </c>
      <c r="F44" s="25" t="str">
        <f aca="false">IF(OR(C44="",D44=""),"",D44*E44)</f>
        <v/>
      </c>
      <c r="G44" s="21"/>
      <c r="H44" s="21"/>
    </row>
    <row r="45" customFormat="false" ht="15" hidden="false" customHeight="false" outlineLevel="0" collapsed="false">
      <c r="A45" s="23"/>
      <c r="B45" s="21"/>
      <c r="C45" s="21"/>
      <c r="D45" s="24"/>
      <c r="E45" s="25" t="str">
        <f aca="false">IF(C45="","",IFERROR(INDEX(Catalogo!$C$5:$C$12,MATCH(C45,Catalogo!$A$5:$A$12,0)),0))</f>
        <v/>
      </c>
      <c r="F45" s="25" t="str">
        <f aca="false">IF(OR(C45="",D45=""),"",D45*E45)</f>
        <v/>
      </c>
      <c r="G45" s="21"/>
      <c r="H45" s="21"/>
    </row>
    <row r="46" customFormat="false" ht="15" hidden="false" customHeight="false" outlineLevel="0" collapsed="false">
      <c r="A46" s="23"/>
      <c r="B46" s="21"/>
      <c r="C46" s="21"/>
      <c r="D46" s="24"/>
      <c r="E46" s="25" t="str">
        <f aca="false">IF(C46="","",IFERROR(INDEX(Catalogo!$C$5:$C$12,MATCH(C46,Catalogo!$A$5:$A$12,0)),0))</f>
        <v/>
      </c>
      <c r="F46" s="25" t="str">
        <f aca="false">IF(OR(C46="",D46=""),"",D46*E46)</f>
        <v/>
      </c>
      <c r="G46" s="21"/>
      <c r="H46" s="21"/>
    </row>
    <row r="47" customFormat="false" ht="15" hidden="false" customHeight="false" outlineLevel="0" collapsed="false">
      <c r="A47" s="23"/>
      <c r="B47" s="21"/>
      <c r="C47" s="21"/>
      <c r="D47" s="24"/>
      <c r="E47" s="25" t="str">
        <f aca="false">IF(C47="","",IFERROR(INDEX(Catalogo!$C$5:$C$12,MATCH(C47,Catalogo!$A$5:$A$12,0)),0))</f>
        <v/>
      </c>
      <c r="F47" s="25" t="str">
        <f aca="false">IF(OR(C47="",D47=""),"",D47*E47)</f>
        <v/>
      </c>
      <c r="G47" s="21"/>
      <c r="H47" s="21"/>
    </row>
    <row r="48" customFormat="false" ht="15" hidden="false" customHeight="false" outlineLevel="0" collapsed="false">
      <c r="A48" s="23"/>
      <c r="B48" s="21"/>
      <c r="C48" s="21"/>
      <c r="D48" s="24"/>
      <c r="E48" s="25" t="str">
        <f aca="false">IF(C48="","",IFERROR(INDEX(Catalogo!$C$5:$C$12,MATCH(C48,Catalogo!$A$5:$A$12,0)),0))</f>
        <v/>
      </c>
      <c r="F48" s="25" t="str">
        <f aca="false">IF(OR(C48="",D48=""),"",D48*E48)</f>
        <v/>
      </c>
      <c r="G48" s="21"/>
      <c r="H48" s="21"/>
    </row>
    <row r="49" customFormat="false" ht="15" hidden="false" customHeight="false" outlineLevel="0" collapsed="false">
      <c r="A49" s="23"/>
      <c r="B49" s="21"/>
      <c r="C49" s="21"/>
      <c r="D49" s="24"/>
      <c r="E49" s="25" t="str">
        <f aca="false">IF(C49="","",IFERROR(INDEX(Catalogo!$C$5:$C$12,MATCH(C49,Catalogo!$A$5:$A$12,0)),0))</f>
        <v/>
      </c>
      <c r="F49" s="25" t="str">
        <f aca="false">IF(OR(C49="",D49=""),"",D49*E49)</f>
        <v/>
      </c>
      <c r="G49" s="21"/>
      <c r="H49" s="21"/>
    </row>
    <row r="50" customFormat="false" ht="15" hidden="false" customHeight="false" outlineLevel="0" collapsed="false">
      <c r="A50" s="23"/>
      <c r="B50" s="21"/>
      <c r="C50" s="21"/>
      <c r="D50" s="24"/>
      <c r="E50" s="25" t="str">
        <f aca="false">IF(C50="","",IFERROR(INDEX(Catalogo!$C$5:$C$12,MATCH(C50,Catalogo!$A$5:$A$12,0)),0))</f>
        <v/>
      </c>
      <c r="F50" s="25" t="str">
        <f aca="false">IF(OR(C50="",D50=""),"",D50*E50)</f>
        <v/>
      </c>
      <c r="G50" s="21"/>
      <c r="H50" s="21"/>
    </row>
    <row r="51" customFormat="false" ht="15" hidden="false" customHeight="false" outlineLevel="0" collapsed="false">
      <c r="A51" s="23"/>
      <c r="B51" s="21"/>
      <c r="C51" s="21"/>
      <c r="D51" s="24"/>
      <c r="E51" s="25" t="str">
        <f aca="false">IF(C51="","",IFERROR(INDEX(Catalogo!$C$5:$C$12,MATCH(C51,Catalogo!$A$5:$A$12,0)),0))</f>
        <v/>
      </c>
      <c r="F51" s="25" t="str">
        <f aca="false">IF(OR(C51="",D51=""),"",D51*E51)</f>
        <v/>
      </c>
      <c r="G51" s="21"/>
      <c r="H51" s="21"/>
    </row>
    <row r="52" customFormat="false" ht="15" hidden="false" customHeight="false" outlineLevel="0" collapsed="false">
      <c r="A52" s="23"/>
      <c r="B52" s="21"/>
      <c r="C52" s="21"/>
      <c r="D52" s="24"/>
      <c r="E52" s="25" t="str">
        <f aca="false">IF(C52="","",IFERROR(INDEX(Catalogo!$C$5:$C$12,MATCH(C52,Catalogo!$A$5:$A$12,0)),0))</f>
        <v/>
      </c>
      <c r="F52" s="25" t="str">
        <f aca="false">IF(OR(C52="",D52=""),"",D52*E52)</f>
        <v/>
      </c>
      <c r="G52" s="21"/>
      <c r="H52" s="21"/>
    </row>
    <row r="53" customFormat="false" ht="15" hidden="false" customHeight="false" outlineLevel="0" collapsed="false">
      <c r="A53" s="23"/>
      <c r="B53" s="21"/>
      <c r="C53" s="21"/>
      <c r="D53" s="24"/>
      <c r="E53" s="25" t="str">
        <f aca="false">IF(C53="","",IFERROR(INDEX(Catalogo!$C$5:$C$12,MATCH(C53,Catalogo!$A$5:$A$12,0)),0))</f>
        <v/>
      </c>
      <c r="F53" s="25" t="str">
        <f aca="false">IF(OR(C53="",D53=""),"",D53*E53)</f>
        <v/>
      </c>
      <c r="G53" s="21"/>
      <c r="H53" s="21"/>
    </row>
    <row r="54" customFormat="false" ht="15" hidden="false" customHeight="false" outlineLevel="0" collapsed="false">
      <c r="A54" s="23"/>
      <c r="B54" s="21"/>
      <c r="C54" s="21"/>
      <c r="D54" s="24"/>
      <c r="E54" s="25" t="str">
        <f aca="false">IF(C54="","",IFERROR(INDEX(Catalogo!$C$5:$C$12,MATCH(C54,Catalogo!$A$5:$A$12,0)),0))</f>
        <v/>
      </c>
      <c r="F54" s="25" t="str">
        <f aca="false">IF(OR(C54="",D54=""),"",D54*E54)</f>
        <v/>
      </c>
      <c r="G54" s="21"/>
      <c r="H54" s="21"/>
    </row>
    <row r="55" customFormat="false" ht="15" hidden="false" customHeight="false" outlineLevel="0" collapsed="false">
      <c r="A55" s="23"/>
      <c r="B55" s="21"/>
      <c r="C55" s="21"/>
      <c r="D55" s="24"/>
      <c r="E55" s="25" t="str">
        <f aca="false">IF(C55="","",IFERROR(INDEX(Catalogo!$C$5:$C$12,MATCH(C55,Catalogo!$A$5:$A$12,0)),0))</f>
        <v/>
      </c>
      <c r="F55" s="25" t="str">
        <f aca="false">IF(OR(C55="",D55=""),"",D55*E55)</f>
        <v/>
      </c>
      <c r="G55" s="21"/>
      <c r="H55" s="21"/>
    </row>
    <row r="56" customFormat="false" ht="15" hidden="false" customHeight="false" outlineLevel="0" collapsed="false">
      <c r="A56" s="23"/>
      <c r="B56" s="21"/>
      <c r="C56" s="21"/>
      <c r="D56" s="24"/>
      <c r="E56" s="25" t="str">
        <f aca="false">IF(C56="","",IFERROR(INDEX(Catalogo!$C$5:$C$12,MATCH(C56,Catalogo!$A$5:$A$12,0)),0))</f>
        <v/>
      </c>
      <c r="F56" s="25" t="str">
        <f aca="false">IF(OR(C56="",D56=""),"",D56*E56)</f>
        <v/>
      </c>
      <c r="G56" s="21"/>
      <c r="H56" s="21"/>
    </row>
    <row r="57" customFormat="false" ht="15" hidden="false" customHeight="false" outlineLevel="0" collapsed="false">
      <c r="A57" s="23"/>
      <c r="B57" s="21"/>
      <c r="C57" s="21"/>
      <c r="D57" s="24"/>
      <c r="E57" s="25" t="str">
        <f aca="false">IF(C57="","",IFERROR(INDEX(Catalogo!$C$5:$C$12,MATCH(C57,Catalogo!$A$5:$A$12,0)),0))</f>
        <v/>
      </c>
      <c r="F57" s="25" t="str">
        <f aca="false">IF(OR(C57="",D57=""),"",D57*E57)</f>
        <v/>
      </c>
      <c r="G57" s="21"/>
      <c r="H57" s="21"/>
    </row>
    <row r="58" customFormat="false" ht="15" hidden="false" customHeight="false" outlineLevel="0" collapsed="false">
      <c r="A58" s="23"/>
      <c r="B58" s="21"/>
      <c r="C58" s="21"/>
      <c r="D58" s="24"/>
      <c r="E58" s="25" t="str">
        <f aca="false">IF(C58="","",IFERROR(INDEX(Catalogo!$C$5:$C$12,MATCH(C58,Catalogo!$A$5:$A$12,0)),0))</f>
        <v/>
      </c>
      <c r="F58" s="25" t="str">
        <f aca="false">IF(OR(C58="",D58=""),"",D58*E58)</f>
        <v/>
      </c>
      <c r="G58" s="21"/>
      <c r="H58" s="21"/>
    </row>
    <row r="59" customFormat="false" ht="15" hidden="false" customHeight="false" outlineLevel="0" collapsed="false">
      <c r="A59" s="23"/>
      <c r="B59" s="21"/>
      <c r="C59" s="21"/>
      <c r="D59" s="24"/>
      <c r="E59" s="25" t="str">
        <f aca="false">IF(C59="","",IFERROR(INDEX(Catalogo!$C$5:$C$12,MATCH(C59,Catalogo!$A$5:$A$12,0)),0))</f>
        <v/>
      </c>
      <c r="F59" s="25" t="str">
        <f aca="false">IF(OR(C59="",D59=""),"",D59*E59)</f>
        <v/>
      </c>
      <c r="G59" s="21"/>
      <c r="H59" s="21"/>
    </row>
    <row r="60" customFormat="false" ht="15" hidden="false" customHeight="false" outlineLevel="0" collapsed="false">
      <c r="A60" s="23"/>
      <c r="B60" s="21"/>
      <c r="C60" s="21"/>
      <c r="D60" s="24"/>
      <c r="E60" s="25" t="str">
        <f aca="false">IF(C60="","",IFERROR(INDEX(Catalogo!$C$5:$C$12,MATCH(C60,Catalogo!$A$5:$A$12,0)),0))</f>
        <v/>
      </c>
      <c r="F60" s="25" t="str">
        <f aca="false">IF(OR(C60="",D60=""),"",D60*E60)</f>
        <v/>
      </c>
      <c r="G60" s="21"/>
      <c r="H60" s="21"/>
    </row>
    <row r="61" customFormat="false" ht="15" hidden="false" customHeight="false" outlineLevel="0" collapsed="false">
      <c r="A61" s="23"/>
      <c r="B61" s="21"/>
      <c r="C61" s="21"/>
      <c r="D61" s="24"/>
      <c r="E61" s="25" t="str">
        <f aca="false">IF(C61="","",IFERROR(INDEX(Catalogo!$C$5:$C$12,MATCH(C61,Catalogo!$A$5:$A$12,0)),0))</f>
        <v/>
      </c>
      <c r="F61" s="25" t="str">
        <f aca="false">IF(OR(C61="",D61=""),"",D61*E61)</f>
        <v/>
      </c>
      <c r="G61" s="21"/>
      <c r="H61" s="21"/>
    </row>
    <row r="62" customFormat="false" ht="15" hidden="false" customHeight="false" outlineLevel="0" collapsed="false">
      <c r="A62" s="23"/>
      <c r="B62" s="21"/>
      <c r="C62" s="21"/>
      <c r="D62" s="24"/>
      <c r="E62" s="25" t="str">
        <f aca="false">IF(C62="","",IFERROR(INDEX(Catalogo!$C$5:$C$12,MATCH(C62,Catalogo!$A$5:$A$12,0)),0))</f>
        <v/>
      </c>
      <c r="F62" s="25" t="str">
        <f aca="false">IF(OR(C62="",D62=""),"",D62*E62)</f>
        <v/>
      </c>
      <c r="G62" s="21"/>
      <c r="H62" s="21"/>
    </row>
    <row r="63" customFormat="false" ht="15" hidden="false" customHeight="false" outlineLevel="0" collapsed="false">
      <c r="A63" s="23"/>
      <c r="B63" s="21"/>
      <c r="C63" s="21"/>
      <c r="D63" s="24"/>
      <c r="E63" s="25" t="str">
        <f aca="false">IF(C63="","",IFERROR(INDEX(Catalogo!$C$5:$C$12,MATCH(C63,Catalogo!$A$5:$A$12,0)),0))</f>
        <v/>
      </c>
      <c r="F63" s="25" t="str">
        <f aca="false">IF(OR(C63="",D63=""),"",D63*E63)</f>
        <v/>
      </c>
      <c r="G63" s="21"/>
      <c r="H63" s="21"/>
    </row>
    <row r="64" customFormat="false" ht="15" hidden="false" customHeight="false" outlineLevel="0" collapsed="false">
      <c r="A64" s="23"/>
      <c r="B64" s="21"/>
      <c r="C64" s="21"/>
      <c r="D64" s="24"/>
      <c r="E64" s="25" t="str">
        <f aca="false">IF(C64="","",IFERROR(INDEX(Catalogo!$C$5:$C$12,MATCH(C64,Catalogo!$A$5:$A$12,0)),0))</f>
        <v/>
      </c>
      <c r="F64" s="25" t="str">
        <f aca="false">IF(OR(C64="",D64=""),"",D64*E64)</f>
        <v/>
      </c>
      <c r="G64" s="21"/>
      <c r="H64" s="21"/>
    </row>
    <row r="65" customFormat="false" ht="15" hidden="false" customHeight="false" outlineLevel="0" collapsed="false">
      <c r="A65" s="23"/>
      <c r="B65" s="21"/>
      <c r="C65" s="21"/>
      <c r="D65" s="24"/>
      <c r="E65" s="25" t="str">
        <f aca="false">IF(C65="","",IFERROR(INDEX(Catalogo!$C$5:$C$12,MATCH(C65,Catalogo!$A$5:$A$12,0)),0))</f>
        <v/>
      </c>
      <c r="F65" s="25" t="str">
        <f aca="false">IF(OR(C65="",D65=""),"",D65*E65)</f>
        <v/>
      </c>
      <c r="G65" s="21"/>
      <c r="H65" s="21"/>
    </row>
    <row r="66" customFormat="false" ht="15" hidden="false" customHeight="false" outlineLevel="0" collapsed="false">
      <c r="A66" s="23"/>
      <c r="B66" s="21"/>
      <c r="C66" s="21"/>
      <c r="D66" s="24"/>
      <c r="E66" s="25" t="str">
        <f aca="false">IF(C66="","",IFERROR(INDEX(Catalogo!$C$5:$C$12,MATCH(C66,Catalogo!$A$5:$A$12,0)),0))</f>
        <v/>
      </c>
      <c r="F66" s="25" t="str">
        <f aca="false">IF(OR(C66="",D66=""),"",D66*E66)</f>
        <v/>
      </c>
      <c r="G66" s="21"/>
      <c r="H66" s="21"/>
    </row>
    <row r="67" customFormat="false" ht="15" hidden="false" customHeight="false" outlineLevel="0" collapsed="false">
      <c r="A67" s="23"/>
      <c r="B67" s="21"/>
      <c r="C67" s="21"/>
      <c r="D67" s="24"/>
      <c r="E67" s="25" t="str">
        <f aca="false">IF(C67="","",IFERROR(INDEX(Catalogo!$C$5:$C$12,MATCH(C67,Catalogo!$A$5:$A$12,0)),0))</f>
        <v/>
      </c>
      <c r="F67" s="25" t="str">
        <f aca="false">IF(OR(C67="",D67=""),"",D67*E67)</f>
        <v/>
      </c>
      <c r="G67" s="21"/>
      <c r="H67" s="21"/>
    </row>
    <row r="68" customFormat="false" ht="15" hidden="false" customHeight="false" outlineLevel="0" collapsed="false">
      <c r="A68" s="23"/>
      <c r="B68" s="21"/>
      <c r="C68" s="21"/>
      <c r="D68" s="24"/>
      <c r="E68" s="25" t="str">
        <f aca="false">IF(C68="","",IFERROR(INDEX(Catalogo!$C$5:$C$12,MATCH(C68,Catalogo!$A$5:$A$12,0)),0))</f>
        <v/>
      </c>
      <c r="F68" s="25" t="str">
        <f aca="false">IF(OR(C68="",D68=""),"",D68*E68)</f>
        <v/>
      </c>
      <c r="G68" s="21"/>
      <c r="H68" s="21"/>
    </row>
    <row r="69" customFormat="false" ht="15" hidden="false" customHeight="false" outlineLevel="0" collapsed="false">
      <c r="A69" s="23"/>
      <c r="B69" s="21"/>
      <c r="C69" s="21"/>
      <c r="D69" s="24"/>
      <c r="E69" s="25" t="str">
        <f aca="false">IF(C69="","",IFERROR(INDEX(Catalogo!$C$5:$C$12,MATCH(C69,Catalogo!$A$5:$A$12,0)),0))</f>
        <v/>
      </c>
      <c r="F69" s="25" t="str">
        <f aca="false">IF(OR(C69="",D69=""),"",D69*E69)</f>
        <v/>
      </c>
      <c r="G69" s="21"/>
      <c r="H69" s="21"/>
    </row>
    <row r="70" customFormat="false" ht="15" hidden="false" customHeight="false" outlineLevel="0" collapsed="false">
      <c r="A70" s="23"/>
      <c r="B70" s="21"/>
      <c r="C70" s="21"/>
      <c r="D70" s="24"/>
      <c r="E70" s="25" t="str">
        <f aca="false">IF(C70="","",IFERROR(INDEX(Catalogo!$C$5:$C$12,MATCH(C70,Catalogo!$A$5:$A$12,0)),0))</f>
        <v/>
      </c>
      <c r="F70" s="25" t="str">
        <f aca="false">IF(OR(C70="",D70=""),"",D70*E70)</f>
        <v/>
      </c>
      <c r="G70" s="21"/>
      <c r="H70" s="21"/>
    </row>
    <row r="71" customFormat="false" ht="15" hidden="false" customHeight="false" outlineLevel="0" collapsed="false">
      <c r="A71" s="23"/>
      <c r="B71" s="21"/>
      <c r="C71" s="21"/>
      <c r="D71" s="24"/>
      <c r="E71" s="25" t="str">
        <f aca="false">IF(C71="","",IFERROR(INDEX(Catalogo!$C$5:$C$12,MATCH(C71,Catalogo!$A$5:$A$12,0)),0))</f>
        <v/>
      </c>
      <c r="F71" s="25" t="str">
        <f aca="false">IF(OR(C71="",D71=""),"",D71*E71)</f>
        <v/>
      </c>
      <c r="G71" s="21"/>
      <c r="H71" s="21"/>
    </row>
    <row r="72" customFormat="false" ht="15" hidden="false" customHeight="false" outlineLevel="0" collapsed="false">
      <c r="A72" s="23"/>
      <c r="B72" s="21"/>
      <c r="C72" s="21"/>
      <c r="D72" s="24"/>
      <c r="E72" s="25" t="str">
        <f aca="false">IF(C72="","",IFERROR(INDEX(Catalogo!$C$5:$C$12,MATCH(C72,Catalogo!$A$5:$A$12,0)),0))</f>
        <v/>
      </c>
      <c r="F72" s="25" t="str">
        <f aca="false">IF(OR(C72="",D72=""),"",D72*E72)</f>
        <v/>
      </c>
      <c r="G72" s="21"/>
      <c r="H72" s="21"/>
    </row>
    <row r="73" customFormat="false" ht="15" hidden="false" customHeight="false" outlineLevel="0" collapsed="false">
      <c r="A73" s="23"/>
      <c r="B73" s="21"/>
      <c r="C73" s="21"/>
      <c r="D73" s="24"/>
      <c r="E73" s="25" t="str">
        <f aca="false">IF(C73="","",IFERROR(INDEX(Catalogo!$C$5:$C$12,MATCH(C73,Catalogo!$A$5:$A$12,0)),0))</f>
        <v/>
      </c>
      <c r="F73" s="25" t="str">
        <f aca="false">IF(OR(C73="",D73=""),"",D73*E73)</f>
        <v/>
      </c>
      <c r="G73" s="21"/>
      <c r="H73" s="21"/>
    </row>
    <row r="74" customFormat="false" ht="15" hidden="false" customHeight="false" outlineLevel="0" collapsed="false">
      <c r="A74" s="23"/>
      <c r="B74" s="21"/>
      <c r="C74" s="21"/>
      <c r="D74" s="24"/>
      <c r="E74" s="25" t="str">
        <f aca="false">IF(C74="","",IFERROR(INDEX(Catalogo!$C$5:$C$12,MATCH(C74,Catalogo!$A$5:$A$12,0)),0))</f>
        <v/>
      </c>
      <c r="F74" s="25" t="str">
        <f aca="false">IF(OR(C74="",D74=""),"",D74*E74)</f>
        <v/>
      </c>
      <c r="G74" s="21"/>
      <c r="H74" s="21"/>
    </row>
    <row r="75" customFormat="false" ht="15" hidden="false" customHeight="false" outlineLevel="0" collapsed="false">
      <c r="A75" s="23"/>
      <c r="B75" s="21"/>
      <c r="C75" s="21"/>
      <c r="D75" s="24"/>
      <c r="E75" s="25" t="str">
        <f aca="false">IF(C75="","",IFERROR(INDEX(Catalogo!$C$5:$C$12,MATCH(C75,Catalogo!$A$5:$A$12,0)),0))</f>
        <v/>
      </c>
      <c r="F75" s="25" t="str">
        <f aca="false">IF(OR(C75="",D75=""),"",D75*E75)</f>
        <v/>
      </c>
      <c r="G75" s="21"/>
      <c r="H75" s="21"/>
    </row>
    <row r="76" customFormat="false" ht="15" hidden="false" customHeight="false" outlineLevel="0" collapsed="false">
      <c r="A76" s="23"/>
      <c r="B76" s="21"/>
      <c r="C76" s="21"/>
      <c r="D76" s="24"/>
      <c r="E76" s="25" t="str">
        <f aca="false">IF(C76="","",IFERROR(INDEX(Catalogo!$C$5:$C$12,MATCH(C76,Catalogo!$A$5:$A$12,0)),0))</f>
        <v/>
      </c>
      <c r="F76" s="25" t="str">
        <f aca="false">IF(OR(C76="",D76=""),"",D76*E76)</f>
        <v/>
      </c>
      <c r="G76" s="21"/>
      <c r="H76" s="21"/>
    </row>
    <row r="77" customFormat="false" ht="15" hidden="false" customHeight="false" outlineLevel="0" collapsed="false">
      <c r="A77" s="23"/>
      <c r="B77" s="21"/>
      <c r="C77" s="21"/>
      <c r="D77" s="24"/>
      <c r="E77" s="25" t="str">
        <f aca="false">IF(C77="","",IFERROR(INDEX(Catalogo!$C$5:$C$12,MATCH(C77,Catalogo!$A$5:$A$12,0)),0))</f>
        <v/>
      </c>
      <c r="F77" s="25" t="str">
        <f aca="false">IF(OR(C77="",D77=""),"",D77*E77)</f>
        <v/>
      </c>
      <c r="G77" s="21"/>
      <c r="H77" s="21"/>
    </row>
    <row r="78" customFormat="false" ht="15" hidden="false" customHeight="false" outlineLevel="0" collapsed="false">
      <c r="A78" s="23"/>
      <c r="B78" s="21"/>
      <c r="C78" s="21"/>
      <c r="D78" s="24"/>
      <c r="E78" s="25" t="str">
        <f aca="false">IF(C78="","",IFERROR(INDEX(Catalogo!$C$5:$C$12,MATCH(C78,Catalogo!$A$5:$A$12,0)),0))</f>
        <v/>
      </c>
      <c r="F78" s="25" t="str">
        <f aca="false">IF(OR(C78="",D78=""),"",D78*E78)</f>
        <v/>
      </c>
      <c r="G78" s="21"/>
      <c r="H78" s="21"/>
    </row>
    <row r="79" customFormat="false" ht="15" hidden="false" customHeight="false" outlineLevel="0" collapsed="false">
      <c r="A79" s="23"/>
      <c r="B79" s="21"/>
      <c r="C79" s="21"/>
      <c r="D79" s="24"/>
      <c r="E79" s="25" t="str">
        <f aca="false">IF(C79="","",IFERROR(INDEX(Catalogo!$C$5:$C$12,MATCH(C79,Catalogo!$A$5:$A$12,0)),0))</f>
        <v/>
      </c>
      <c r="F79" s="25" t="str">
        <f aca="false">IF(OR(C79="",D79=""),"",D79*E79)</f>
        <v/>
      </c>
      <c r="G79" s="21"/>
      <c r="H79" s="21"/>
    </row>
    <row r="80" customFormat="false" ht="15" hidden="false" customHeight="false" outlineLevel="0" collapsed="false">
      <c r="A80" s="23"/>
      <c r="B80" s="21"/>
      <c r="C80" s="21"/>
      <c r="D80" s="24"/>
      <c r="E80" s="25" t="str">
        <f aca="false">IF(C80="","",IFERROR(INDEX(Catalogo!$C$5:$C$12,MATCH(C80,Catalogo!$A$5:$A$12,0)),0))</f>
        <v/>
      </c>
      <c r="F80" s="25" t="str">
        <f aca="false">IF(OR(C80="",D80=""),"",D80*E80)</f>
        <v/>
      </c>
      <c r="G80" s="21"/>
      <c r="H80" s="21"/>
    </row>
    <row r="81" customFormat="false" ht="15" hidden="false" customHeight="false" outlineLevel="0" collapsed="false">
      <c r="A81" s="23"/>
      <c r="B81" s="21"/>
      <c r="C81" s="21"/>
      <c r="D81" s="24"/>
      <c r="E81" s="25" t="str">
        <f aca="false">IF(C81="","",IFERROR(INDEX(Catalogo!$C$5:$C$12,MATCH(C81,Catalogo!$A$5:$A$12,0)),0))</f>
        <v/>
      </c>
      <c r="F81" s="25" t="str">
        <f aca="false">IF(OR(C81="",D81=""),"",D81*E81)</f>
        <v/>
      </c>
      <c r="G81" s="21"/>
      <c r="H81" s="21"/>
    </row>
    <row r="82" customFormat="false" ht="15" hidden="false" customHeight="false" outlineLevel="0" collapsed="false">
      <c r="A82" s="23"/>
      <c r="B82" s="21"/>
      <c r="C82" s="21"/>
      <c r="D82" s="24"/>
      <c r="E82" s="25" t="str">
        <f aca="false">IF(C82="","",IFERROR(INDEX(Catalogo!$C$5:$C$12,MATCH(C82,Catalogo!$A$5:$A$12,0)),0))</f>
        <v/>
      </c>
      <c r="F82" s="25" t="str">
        <f aca="false">IF(OR(C82="",D82=""),"",D82*E82)</f>
        <v/>
      </c>
      <c r="G82" s="21"/>
      <c r="H82" s="21"/>
    </row>
    <row r="83" customFormat="false" ht="15" hidden="false" customHeight="false" outlineLevel="0" collapsed="false">
      <c r="A83" s="23"/>
      <c r="B83" s="21"/>
      <c r="C83" s="21"/>
      <c r="D83" s="24"/>
      <c r="E83" s="25" t="str">
        <f aca="false">IF(C83="","",IFERROR(INDEX(Catalogo!$C$5:$C$12,MATCH(C83,Catalogo!$A$5:$A$12,0)),0))</f>
        <v/>
      </c>
      <c r="F83" s="25" t="str">
        <f aca="false">IF(OR(C83="",D83=""),"",D83*E83)</f>
        <v/>
      </c>
      <c r="G83" s="21"/>
      <c r="H83" s="21"/>
    </row>
    <row r="84" customFormat="false" ht="15" hidden="false" customHeight="false" outlineLevel="0" collapsed="false">
      <c r="A84" s="23"/>
      <c r="B84" s="21"/>
      <c r="C84" s="21"/>
      <c r="D84" s="24"/>
      <c r="E84" s="25" t="str">
        <f aca="false">IF(C84="","",IFERROR(INDEX(Catalogo!$C$5:$C$12,MATCH(C84,Catalogo!$A$5:$A$12,0)),0))</f>
        <v/>
      </c>
      <c r="F84" s="25" t="str">
        <f aca="false">IF(OR(C84="",D84=""),"",D84*E84)</f>
        <v/>
      </c>
      <c r="G84" s="21"/>
      <c r="H84" s="21"/>
    </row>
    <row r="85" customFormat="false" ht="15" hidden="false" customHeight="false" outlineLevel="0" collapsed="false">
      <c r="A85" s="23"/>
      <c r="B85" s="21"/>
      <c r="C85" s="21"/>
      <c r="D85" s="24"/>
      <c r="E85" s="25" t="str">
        <f aca="false">IF(C85="","",IFERROR(INDEX(Catalogo!$C$5:$C$12,MATCH(C85,Catalogo!$A$5:$A$12,0)),0))</f>
        <v/>
      </c>
      <c r="F85" s="25" t="str">
        <f aca="false">IF(OR(C85="",D85=""),"",D85*E85)</f>
        <v/>
      </c>
      <c r="G85" s="21"/>
      <c r="H85" s="21"/>
    </row>
    <row r="86" customFormat="false" ht="15" hidden="false" customHeight="false" outlineLevel="0" collapsed="false">
      <c r="A86" s="23"/>
      <c r="B86" s="21"/>
      <c r="C86" s="21"/>
      <c r="D86" s="24"/>
      <c r="E86" s="25" t="str">
        <f aca="false">IF(C86="","",IFERROR(INDEX(Catalogo!$C$5:$C$12,MATCH(C86,Catalogo!$A$5:$A$12,0)),0))</f>
        <v/>
      </c>
      <c r="F86" s="25" t="str">
        <f aca="false">IF(OR(C86="",D86=""),"",D86*E86)</f>
        <v/>
      </c>
      <c r="G86" s="21"/>
      <c r="H86" s="21"/>
    </row>
    <row r="87" customFormat="false" ht="15" hidden="false" customHeight="false" outlineLevel="0" collapsed="false">
      <c r="A87" s="23"/>
      <c r="B87" s="21"/>
      <c r="C87" s="21"/>
      <c r="D87" s="24"/>
      <c r="E87" s="25" t="str">
        <f aca="false">IF(C87="","",IFERROR(INDEX(Catalogo!$C$5:$C$12,MATCH(C87,Catalogo!$A$5:$A$12,0)),0))</f>
        <v/>
      </c>
      <c r="F87" s="25" t="str">
        <f aca="false">IF(OR(C87="",D87=""),"",D87*E87)</f>
        <v/>
      </c>
      <c r="G87" s="21"/>
      <c r="H87" s="21"/>
    </row>
    <row r="88" customFormat="false" ht="15" hidden="false" customHeight="false" outlineLevel="0" collapsed="false">
      <c r="A88" s="23"/>
      <c r="B88" s="21"/>
      <c r="C88" s="21"/>
      <c r="D88" s="24"/>
      <c r="E88" s="25" t="str">
        <f aca="false">IF(C88="","",IFERROR(INDEX(Catalogo!$C$5:$C$12,MATCH(C88,Catalogo!$A$5:$A$12,0)),0))</f>
        <v/>
      </c>
      <c r="F88" s="25" t="str">
        <f aca="false">IF(OR(C88="",D88=""),"",D88*E88)</f>
        <v/>
      </c>
      <c r="G88" s="21"/>
      <c r="H88" s="21"/>
    </row>
    <row r="89" customFormat="false" ht="15" hidden="false" customHeight="false" outlineLevel="0" collapsed="false">
      <c r="A89" s="23"/>
      <c r="B89" s="21"/>
      <c r="C89" s="21"/>
      <c r="D89" s="24"/>
      <c r="E89" s="25" t="str">
        <f aca="false">IF(C89="","",IFERROR(INDEX(Catalogo!$C$5:$C$12,MATCH(C89,Catalogo!$A$5:$A$12,0)),0))</f>
        <v/>
      </c>
      <c r="F89" s="25" t="str">
        <f aca="false">IF(OR(C89="",D89=""),"",D89*E89)</f>
        <v/>
      </c>
      <c r="G89" s="21"/>
      <c r="H89" s="21"/>
    </row>
    <row r="90" customFormat="false" ht="15" hidden="false" customHeight="false" outlineLevel="0" collapsed="false">
      <c r="A90" s="23"/>
      <c r="B90" s="21"/>
      <c r="C90" s="21"/>
      <c r="D90" s="24"/>
      <c r="E90" s="25" t="str">
        <f aca="false">IF(C90="","",IFERROR(INDEX(Catalogo!$C$5:$C$12,MATCH(C90,Catalogo!$A$5:$A$12,0)),0))</f>
        <v/>
      </c>
      <c r="F90" s="25" t="str">
        <f aca="false">IF(OR(C90="",D90=""),"",D90*E90)</f>
        <v/>
      </c>
      <c r="G90" s="21"/>
      <c r="H90" s="21"/>
    </row>
    <row r="91" customFormat="false" ht="15" hidden="false" customHeight="false" outlineLevel="0" collapsed="false">
      <c r="A91" s="23"/>
      <c r="B91" s="21"/>
      <c r="C91" s="21"/>
      <c r="D91" s="24"/>
      <c r="E91" s="25" t="str">
        <f aca="false">IF(C91="","",IFERROR(INDEX(Catalogo!$C$5:$C$12,MATCH(C91,Catalogo!$A$5:$A$12,0)),0))</f>
        <v/>
      </c>
      <c r="F91" s="25" t="str">
        <f aca="false">IF(OR(C91="",D91=""),"",D91*E91)</f>
        <v/>
      </c>
      <c r="G91" s="21"/>
      <c r="H91" s="21"/>
    </row>
    <row r="92" customFormat="false" ht="15" hidden="false" customHeight="false" outlineLevel="0" collapsed="false">
      <c r="A92" s="23"/>
      <c r="B92" s="21"/>
      <c r="C92" s="21"/>
      <c r="D92" s="24"/>
      <c r="E92" s="25" t="str">
        <f aca="false">IF(C92="","",IFERROR(INDEX(Catalogo!$C$5:$C$12,MATCH(C92,Catalogo!$A$5:$A$12,0)),0))</f>
        <v/>
      </c>
      <c r="F92" s="25" t="str">
        <f aca="false">IF(OR(C92="",D92=""),"",D92*E92)</f>
        <v/>
      </c>
      <c r="G92" s="21"/>
      <c r="H92" s="21"/>
    </row>
    <row r="93" customFormat="false" ht="15" hidden="false" customHeight="false" outlineLevel="0" collapsed="false">
      <c r="A93" s="23"/>
      <c r="B93" s="21"/>
      <c r="C93" s="21"/>
      <c r="D93" s="24"/>
      <c r="E93" s="25" t="str">
        <f aca="false">IF(C93="","",IFERROR(INDEX(Catalogo!$C$5:$C$12,MATCH(C93,Catalogo!$A$5:$A$12,0)),0))</f>
        <v/>
      </c>
      <c r="F93" s="25" t="str">
        <f aca="false">IF(OR(C93="",D93=""),"",D93*E93)</f>
        <v/>
      </c>
      <c r="G93" s="21"/>
      <c r="H93" s="21"/>
    </row>
    <row r="94" customFormat="false" ht="15" hidden="false" customHeight="false" outlineLevel="0" collapsed="false">
      <c r="A94" s="23"/>
      <c r="B94" s="21"/>
      <c r="C94" s="21"/>
      <c r="D94" s="24"/>
      <c r="E94" s="25" t="str">
        <f aca="false">IF(C94="","",IFERROR(INDEX(Catalogo!$C$5:$C$12,MATCH(C94,Catalogo!$A$5:$A$12,0)),0))</f>
        <v/>
      </c>
      <c r="F94" s="25" t="str">
        <f aca="false">IF(OR(C94="",D94=""),"",D94*E94)</f>
        <v/>
      </c>
      <c r="G94" s="21"/>
      <c r="H94" s="21"/>
    </row>
    <row r="95" customFormat="false" ht="15" hidden="false" customHeight="false" outlineLevel="0" collapsed="false">
      <c r="A95" s="23"/>
      <c r="B95" s="21"/>
      <c r="C95" s="21"/>
      <c r="D95" s="24"/>
      <c r="E95" s="25" t="str">
        <f aca="false">IF(C95="","",IFERROR(INDEX(Catalogo!$C$5:$C$12,MATCH(C95,Catalogo!$A$5:$A$12,0)),0))</f>
        <v/>
      </c>
      <c r="F95" s="25" t="str">
        <f aca="false">IF(OR(C95="",D95=""),"",D95*E95)</f>
        <v/>
      </c>
      <c r="G95" s="21"/>
      <c r="H95" s="21"/>
    </row>
    <row r="96" customFormat="false" ht="15" hidden="false" customHeight="false" outlineLevel="0" collapsed="false">
      <c r="A96" s="23"/>
      <c r="B96" s="21"/>
      <c r="C96" s="21"/>
      <c r="D96" s="24"/>
      <c r="E96" s="25" t="str">
        <f aca="false">IF(C96="","",IFERROR(INDEX(Catalogo!$C$5:$C$12,MATCH(C96,Catalogo!$A$5:$A$12,0)),0))</f>
        <v/>
      </c>
      <c r="F96" s="25" t="str">
        <f aca="false">IF(OR(C96="",D96=""),"",D96*E96)</f>
        <v/>
      </c>
      <c r="G96" s="21"/>
      <c r="H96" s="21"/>
    </row>
    <row r="97" customFormat="false" ht="15" hidden="false" customHeight="false" outlineLevel="0" collapsed="false">
      <c r="A97" s="23"/>
      <c r="B97" s="21"/>
      <c r="C97" s="21"/>
      <c r="D97" s="24"/>
      <c r="E97" s="25" t="str">
        <f aca="false">IF(C97="","",IFERROR(INDEX(Catalogo!$C$5:$C$12,MATCH(C97,Catalogo!$A$5:$A$12,0)),0))</f>
        <v/>
      </c>
      <c r="F97" s="25" t="str">
        <f aca="false">IF(OR(C97="",D97=""),"",D97*E97)</f>
        <v/>
      </c>
      <c r="G97" s="21"/>
      <c r="H97" s="21"/>
    </row>
    <row r="98" customFormat="false" ht="15" hidden="false" customHeight="false" outlineLevel="0" collapsed="false">
      <c r="A98" s="23"/>
      <c r="B98" s="21"/>
      <c r="C98" s="21"/>
      <c r="D98" s="24"/>
      <c r="E98" s="25" t="str">
        <f aca="false">IF(C98="","",IFERROR(INDEX(Catalogo!$C$5:$C$12,MATCH(C98,Catalogo!$A$5:$A$12,0)),0))</f>
        <v/>
      </c>
      <c r="F98" s="25" t="str">
        <f aca="false">IF(OR(C98="",D98=""),"",D98*E98)</f>
        <v/>
      </c>
      <c r="G98" s="21"/>
      <c r="H98" s="21"/>
    </row>
    <row r="99" customFormat="false" ht="15" hidden="false" customHeight="false" outlineLevel="0" collapsed="false">
      <c r="A99" s="23"/>
      <c r="B99" s="21"/>
      <c r="C99" s="21"/>
      <c r="D99" s="24"/>
      <c r="E99" s="25" t="str">
        <f aca="false">IF(C99="","",IFERROR(INDEX(Catalogo!$C$5:$C$12,MATCH(C99,Catalogo!$A$5:$A$12,0)),0))</f>
        <v/>
      </c>
      <c r="F99" s="25" t="str">
        <f aca="false">IF(OR(C99="",D99=""),"",D99*E99)</f>
        <v/>
      </c>
      <c r="G99" s="21"/>
      <c r="H99" s="21"/>
    </row>
    <row r="100" customFormat="false" ht="15" hidden="false" customHeight="false" outlineLevel="0" collapsed="false">
      <c r="A100" s="23"/>
      <c r="B100" s="21"/>
      <c r="C100" s="21"/>
      <c r="D100" s="24"/>
      <c r="E100" s="25" t="str">
        <f aca="false">IF(C100="","",IFERROR(INDEX(Catalogo!$C$5:$C$12,MATCH(C100,Catalogo!$A$5:$A$12,0)),0))</f>
        <v/>
      </c>
      <c r="F100" s="25" t="str">
        <f aca="false">IF(OR(C100="",D100=""),"",D100*E100)</f>
        <v/>
      </c>
      <c r="G100" s="21"/>
      <c r="H100" s="21"/>
    </row>
    <row r="101" customFormat="false" ht="15" hidden="false" customHeight="false" outlineLevel="0" collapsed="false">
      <c r="A101" s="23"/>
      <c r="B101" s="21"/>
      <c r="C101" s="21"/>
      <c r="D101" s="24"/>
      <c r="E101" s="25" t="str">
        <f aca="false">IF(C101="","",IFERROR(INDEX(Catalogo!$C$5:$C$12,MATCH(C101,Catalogo!$A$5:$A$12,0)),0))</f>
        <v/>
      </c>
      <c r="F101" s="25" t="str">
        <f aca="false">IF(OR(C101="",D101=""),"",D101*E101)</f>
        <v/>
      </c>
      <c r="G101" s="21"/>
      <c r="H101" s="21"/>
    </row>
    <row r="102" customFormat="false" ht="15" hidden="false" customHeight="false" outlineLevel="0" collapsed="false">
      <c r="A102" s="23"/>
      <c r="B102" s="21"/>
      <c r="C102" s="21"/>
      <c r="D102" s="24"/>
      <c r="E102" s="25" t="str">
        <f aca="false">IF(C102="","",IFERROR(INDEX(Catalogo!$C$5:$C$12,MATCH(C102,Catalogo!$A$5:$A$12,0)),0))</f>
        <v/>
      </c>
      <c r="F102" s="25" t="str">
        <f aca="false">IF(OR(C102="",D102=""),"",D102*E102)</f>
        <v/>
      </c>
      <c r="G102" s="21"/>
      <c r="H102" s="21"/>
    </row>
    <row r="103" customFormat="false" ht="15" hidden="false" customHeight="false" outlineLevel="0" collapsed="false">
      <c r="A103" s="23"/>
      <c r="B103" s="21"/>
      <c r="C103" s="21"/>
      <c r="D103" s="24"/>
      <c r="E103" s="25" t="str">
        <f aca="false">IF(C103="","",IFERROR(INDEX(Catalogo!$C$5:$C$12,MATCH(C103,Catalogo!$A$5:$A$12,0)),0))</f>
        <v/>
      </c>
      <c r="F103" s="25" t="str">
        <f aca="false">IF(OR(C103="",D103=""),"",D103*E103)</f>
        <v/>
      </c>
      <c r="G103" s="21"/>
      <c r="H103" s="21"/>
    </row>
    <row r="104" customFormat="false" ht="15" hidden="false" customHeight="false" outlineLevel="0" collapsed="false">
      <c r="A104" s="23"/>
      <c r="B104" s="21"/>
      <c r="C104" s="21"/>
      <c r="D104" s="24"/>
      <c r="E104" s="25" t="str">
        <f aca="false">IF(C104="","",IFERROR(INDEX(Catalogo!$C$5:$C$12,MATCH(C104,Catalogo!$A$5:$A$12,0)),0))</f>
        <v/>
      </c>
      <c r="F104" s="25" t="str">
        <f aca="false">IF(OR(C104="",D104=""),"",D104*E104)</f>
        <v/>
      </c>
      <c r="G104" s="21"/>
      <c r="H104" s="21"/>
    </row>
    <row r="105" customFormat="false" ht="15" hidden="false" customHeight="false" outlineLevel="0" collapsed="false">
      <c r="A105" s="23"/>
      <c r="B105" s="21"/>
      <c r="C105" s="21"/>
      <c r="D105" s="24"/>
      <c r="E105" s="25" t="str">
        <f aca="false">IF(C105="","",IFERROR(INDEX(Catalogo!$C$5:$C$12,MATCH(C105,Catalogo!$A$5:$A$12,0)),0))</f>
        <v/>
      </c>
      <c r="F105" s="25" t="str">
        <f aca="false">IF(OR(C105="",D105=""),"",D105*E105)</f>
        <v/>
      </c>
      <c r="G105" s="21"/>
      <c r="H105" s="21"/>
    </row>
    <row r="106" customFormat="false" ht="15" hidden="false" customHeight="false" outlineLevel="0" collapsed="false">
      <c r="A106" s="23"/>
      <c r="B106" s="21"/>
      <c r="C106" s="21"/>
      <c r="D106" s="24"/>
      <c r="E106" s="25" t="str">
        <f aca="false">IF(C106="","",IFERROR(INDEX(Catalogo!$C$5:$C$12,MATCH(C106,Catalogo!$A$5:$A$12,0)),0))</f>
        <v/>
      </c>
      <c r="F106" s="25" t="str">
        <f aca="false">IF(OR(C106="",D106=""),"",D106*E106)</f>
        <v/>
      </c>
      <c r="G106" s="21"/>
      <c r="H106" s="21"/>
    </row>
    <row r="107" customFormat="false" ht="15" hidden="false" customHeight="false" outlineLevel="0" collapsed="false">
      <c r="A107" s="23"/>
      <c r="B107" s="21"/>
      <c r="C107" s="21"/>
      <c r="D107" s="24"/>
      <c r="E107" s="25" t="str">
        <f aca="false">IF(C107="","",IFERROR(INDEX(Catalogo!$C$5:$C$12,MATCH(C107,Catalogo!$A$5:$A$12,0)),0))</f>
        <v/>
      </c>
      <c r="F107" s="25" t="str">
        <f aca="false">IF(OR(C107="",D107=""),"",D107*E107)</f>
        <v/>
      </c>
      <c r="G107" s="21"/>
      <c r="H107" s="21"/>
    </row>
    <row r="108" customFormat="false" ht="15" hidden="false" customHeight="false" outlineLevel="0" collapsed="false">
      <c r="A108" s="23"/>
      <c r="B108" s="21"/>
      <c r="C108" s="21"/>
      <c r="D108" s="24"/>
      <c r="E108" s="25" t="str">
        <f aca="false">IF(C108="","",IFERROR(INDEX(Catalogo!$C$5:$C$12,MATCH(C108,Catalogo!$A$5:$A$12,0)),0))</f>
        <v/>
      </c>
      <c r="F108" s="25" t="str">
        <f aca="false">IF(OR(C108="",D108=""),"",D108*E108)</f>
        <v/>
      </c>
      <c r="G108" s="21"/>
      <c r="H108" s="21"/>
    </row>
    <row r="109" customFormat="false" ht="15" hidden="false" customHeight="false" outlineLevel="0" collapsed="false">
      <c r="A109" s="23"/>
      <c r="B109" s="21"/>
      <c r="C109" s="21"/>
      <c r="D109" s="24"/>
      <c r="E109" s="25" t="str">
        <f aca="false">IF(C109="","",IFERROR(INDEX(Catalogo!$C$5:$C$12,MATCH(C109,Catalogo!$A$5:$A$12,0)),0))</f>
        <v/>
      </c>
      <c r="F109" s="25" t="str">
        <f aca="false">IF(OR(C109="",D109=""),"",D109*E109)</f>
        <v/>
      </c>
      <c r="G109" s="21"/>
      <c r="H109" s="21"/>
    </row>
    <row r="110" customFormat="false" ht="15" hidden="false" customHeight="false" outlineLevel="0" collapsed="false">
      <c r="A110" s="23"/>
      <c r="B110" s="21"/>
      <c r="C110" s="21"/>
      <c r="D110" s="24"/>
      <c r="E110" s="25" t="str">
        <f aca="false">IF(C110="","",IFERROR(INDEX(Catalogo!$C$5:$C$12,MATCH(C110,Catalogo!$A$5:$A$12,0)),0))</f>
        <v/>
      </c>
      <c r="F110" s="25" t="str">
        <f aca="false">IF(OR(C110="",D110=""),"",D110*E110)</f>
        <v/>
      </c>
      <c r="G110" s="21"/>
      <c r="H110" s="21"/>
    </row>
    <row r="111" customFormat="false" ht="15" hidden="false" customHeight="false" outlineLevel="0" collapsed="false">
      <c r="A111" s="23"/>
      <c r="B111" s="21"/>
      <c r="C111" s="21"/>
      <c r="D111" s="24"/>
      <c r="E111" s="25" t="str">
        <f aca="false">IF(C111="","",IFERROR(INDEX(Catalogo!$C$5:$C$12,MATCH(C111,Catalogo!$A$5:$A$12,0)),0))</f>
        <v/>
      </c>
      <c r="F111" s="25" t="str">
        <f aca="false">IF(OR(C111="",D111=""),"",D111*E111)</f>
        <v/>
      </c>
      <c r="G111" s="21"/>
      <c r="H111" s="21"/>
    </row>
    <row r="112" customFormat="false" ht="15" hidden="false" customHeight="false" outlineLevel="0" collapsed="false">
      <c r="A112" s="23"/>
      <c r="B112" s="21"/>
      <c r="C112" s="21"/>
      <c r="D112" s="24"/>
      <c r="E112" s="25" t="str">
        <f aca="false">IF(C112="","",IFERROR(INDEX(Catalogo!$C$5:$C$12,MATCH(C112,Catalogo!$A$5:$A$12,0)),0))</f>
        <v/>
      </c>
      <c r="F112" s="25" t="str">
        <f aca="false">IF(OR(C112="",D112=""),"",D112*E112)</f>
        <v/>
      </c>
      <c r="G112" s="21"/>
      <c r="H112" s="21"/>
    </row>
    <row r="113" customFormat="false" ht="15" hidden="false" customHeight="false" outlineLevel="0" collapsed="false">
      <c r="A113" s="23"/>
      <c r="B113" s="21"/>
      <c r="C113" s="21"/>
      <c r="D113" s="24"/>
      <c r="E113" s="25" t="str">
        <f aca="false">IF(C113="","",IFERROR(INDEX(Catalogo!$C$5:$C$12,MATCH(C113,Catalogo!$A$5:$A$12,0)),0))</f>
        <v/>
      </c>
      <c r="F113" s="25" t="str">
        <f aca="false">IF(OR(C113="",D113=""),"",D113*E113)</f>
        <v/>
      </c>
      <c r="G113" s="21"/>
      <c r="H113" s="21"/>
    </row>
    <row r="114" customFormat="false" ht="15" hidden="false" customHeight="false" outlineLevel="0" collapsed="false">
      <c r="A114" s="23"/>
      <c r="B114" s="21"/>
      <c r="C114" s="21"/>
      <c r="D114" s="24"/>
      <c r="E114" s="25" t="str">
        <f aca="false">IF(C114="","",IFERROR(INDEX(Catalogo!$C$5:$C$12,MATCH(C114,Catalogo!$A$5:$A$12,0)),0))</f>
        <v/>
      </c>
      <c r="F114" s="25" t="str">
        <f aca="false">IF(OR(C114="",D114=""),"",D114*E114)</f>
        <v/>
      </c>
      <c r="G114" s="21"/>
      <c r="H114" s="21"/>
    </row>
    <row r="115" customFormat="false" ht="15" hidden="false" customHeight="false" outlineLevel="0" collapsed="false">
      <c r="A115" s="23"/>
      <c r="B115" s="21"/>
      <c r="C115" s="21"/>
      <c r="D115" s="24"/>
      <c r="E115" s="25" t="str">
        <f aca="false">IF(C115="","",IFERROR(INDEX(Catalogo!$C$5:$C$12,MATCH(C115,Catalogo!$A$5:$A$12,0)),0))</f>
        <v/>
      </c>
      <c r="F115" s="25" t="str">
        <f aca="false">IF(OR(C115="",D115=""),"",D115*E115)</f>
        <v/>
      </c>
      <c r="G115" s="21"/>
      <c r="H115" s="21"/>
    </row>
    <row r="116" customFormat="false" ht="15" hidden="false" customHeight="false" outlineLevel="0" collapsed="false">
      <c r="A116" s="23"/>
      <c r="B116" s="21"/>
      <c r="C116" s="21"/>
      <c r="D116" s="24"/>
      <c r="E116" s="25" t="str">
        <f aca="false">IF(C116="","",IFERROR(INDEX(Catalogo!$C$5:$C$12,MATCH(C116,Catalogo!$A$5:$A$12,0)),0))</f>
        <v/>
      </c>
      <c r="F116" s="25" t="str">
        <f aca="false">IF(OR(C116="",D116=""),"",D116*E116)</f>
        <v/>
      </c>
      <c r="G116" s="21"/>
      <c r="H116" s="21"/>
    </row>
    <row r="117" customFormat="false" ht="15" hidden="false" customHeight="false" outlineLevel="0" collapsed="false">
      <c r="A117" s="23"/>
      <c r="B117" s="21"/>
      <c r="C117" s="21"/>
      <c r="D117" s="24"/>
      <c r="E117" s="25" t="str">
        <f aca="false">IF(C117="","",IFERROR(INDEX(Catalogo!$C$5:$C$12,MATCH(C117,Catalogo!$A$5:$A$12,0)),0))</f>
        <v/>
      </c>
      <c r="F117" s="25" t="str">
        <f aca="false">IF(OR(C117="",D117=""),"",D117*E117)</f>
        <v/>
      </c>
      <c r="G117" s="21"/>
      <c r="H117" s="21"/>
    </row>
    <row r="118" customFormat="false" ht="15" hidden="false" customHeight="false" outlineLevel="0" collapsed="false">
      <c r="A118" s="23"/>
      <c r="B118" s="21"/>
      <c r="C118" s="21"/>
      <c r="D118" s="24"/>
      <c r="E118" s="25" t="str">
        <f aca="false">IF(C118="","",IFERROR(INDEX(Catalogo!$C$5:$C$12,MATCH(C118,Catalogo!$A$5:$A$12,0)),0))</f>
        <v/>
      </c>
      <c r="F118" s="25" t="str">
        <f aca="false">IF(OR(C118="",D118=""),"",D118*E118)</f>
        <v/>
      </c>
      <c r="G118" s="21"/>
      <c r="H118" s="21"/>
    </row>
    <row r="119" customFormat="false" ht="15" hidden="false" customHeight="false" outlineLevel="0" collapsed="false">
      <c r="A119" s="23"/>
      <c r="B119" s="21"/>
      <c r="C119" s="21"/>
      <c r="D119" s="24"/>
      <c r="E119" s="25" t="str">
        <f aca="false">IF(C119="","",IFERROR(INDEX(Catalogo!$C$5:$C$12,MATCH(C119,Catalogo!$A$5:$A$12,0)),0))</f>
        <v/>
      </c>
      <c r="F119" s="25" t="str">
        <f aca="false">IF(OR(C119="",D119=""),"",D119*E119)</f>
        <v/>
      </c>
      <c r="G119" s="21"/>
      <c r="H119" s="21"/>
    </row>
    <row r="120" customFormat="false" ht="15" hidden="false" customHeight="false" outlineLevel="0" collapsed="false">
      <c r="A120" s="23"/>
      <c r="B120" s="21"/>
      <c r="C120" s="21"/>
      <c r="D120" s="24"/>
      <c r="E120" s="25" t="str">
        <f aca="false">IF(C120="","",IFERROR(INDEX(Catalogo!$C$5:$C$12,MATCH(C120,Catalogo!$A$5:$A$12,0)),0))</f>
        <v/>
      </c>
      <c r="F120" s="25" t="str">
        <f aca="false">IF(OR(C120="",D120=""),"",D120*E120)</f>
        <v/>
      </c>
      <c r="G120" s="21"/>
      <c r="H120" s="21"/>
    </row>
    <row r="121" customFormat="false" ht="15" hidden="false" customHeight="false" outlineLevel="0" collapsed="false">
      <c r="A121" s="23"/>
      <c r="B121" s="21"/>
      <c r="C121" s="21"/>
      <c r="D121" s="24"/>
      <c r="E121" s="25" t="str">
        <f aca="false">IF(C121="","",IFERROR(INDEX(Catalogo!$C$5:$C$12,MATCH(C121,Catalogo!$A$5:$A$12,0)),0))</f>
        <v/>
      </c>
      <c r="F121" s="25" t="str">
        <f aca="false">IF(OR(C121="",D121=""),"",D121*E121)</f>
        <v/>
      </c>
      <c r="G121" s="21"/>
      <c r="H121" s="21"/>
    </row>
    <row r="122" customFormat="false" ht="15" hidden="false" customHeight="false" outlineLevel="0" collapsed="false">
      <c r="A122" s="23"/>
      <c r="B122" s="21"/>
      <c r="C122" s="21"/>
      <c r="D122" s="24"/>
      <c r="E122" s="25" t="str">
        <f aca="false">IF(C122="","",IFERROR(INDEX(Catalogo!$C$5:$C$12,MATCH(C122,Catalogo!$A$5:$A$12,0)),0))</f>
        <v/>
      </c>
      <c r="F122" s="25" t="str">
        <f aca="false">IF(OR(C122="",D122=""),"",D122*E122)</f>
        <v/>
      </c>
      <c r="G122" s="21"/>
      <c r="H122" s="21"/>
    </row>
    <row r="123" customFormat="false" ht="15" hidden="false" customHeight="false" outlineLevel="0" collapsed="false">
      <c r="A123" s="23"/>
      <c r="B123" s="21"/>
      <c r="C123" s="21"/>
      <c r="D123" s="24"/>
      <c r="E123" s="25" t="str">
        <f aca="false">IF(C123="","",IFERROR(INDEX(Catalogo!$C$5:$C$12,MATCH(C123,Catalogo!$A$5:$A$12,0)),0))</f>
        <v/>
      </c>
      <c r="F123" s="25" t="str">
        <f aca="false">IF(OR(C123="",D123=""),"",D123*E123)</f>
        <v/>
      </c>
      <c r="G123" s="21"/>
      <c r="H123" s="21"/>
    </row>
    <row r="124" customFormat="false" ht="15" hidden="false" customHeight="false" outlineLevel="0" collapsed="false">
      <c r="A124" s="23"/>
      <c r="B124" s="21"/>
      <c r="C124" s="21"/>
      <c r="D124" s="24"/>
      <c r="E124" s="25" t="str">
        <f aca="false">IF(C124="","",IFERROR(INDEX(Catalogo!$C$5:$C$12,MATCH(C124,Catalogo!$A$5:$A$12,0)),0))</f>
        <v/>
      </c>
      <c r="F124" s="25" t="str">
        <f aca="false">IF(OR(C124="",D124=""),"",D124*E124)</f>
        <v/>
      </c>
      <c r="G124" s="21"/>
      <c r="H124" s="21"/>
    </row>
    <row r="125" customFormat="false" ht="15" hidden="false" customHeight="false" outlineLevel="0" collapsed="false">
      <c r="A125" s="23"/>
      <c r="B125" s="21"/>
      <c r="C125" s="21"/>
      <c r="D125" s="24"/>
      <c r="E125" s="25" t="str">
        <f aca="false">IF(C125="","",IFERROR(INDEX(Catalogo!$C$5:$C$12,MATCH(C125,Catalogo!$A$5:$A$12,0)),0))</f>
        <v/>
      </c>
      <c r="F125" s="25" t="str">
        <f aca="false">IF(OR(C125="",D125=""),"",D125*E125)</f>
        <v/>
      </c>
      <c r="G125" s="21"/>
      <c r="H125" s="21"/>
    </row>
    <row r="126" customFormat="false" ht="15" hidden="false" customHeight="false" outlineLevel="0" collapsed="false">
      <c r="A126" s="23"/>
      <c r="B126" s="21"/>
      <c r="C126" s="21"/>
      <c r="D126" s="24"/>
      <c r="E126" s="25" t="str">
        <f aca="false">IF(C126="","",IFERROR(INDEX(Catalogo!$C$5:$C$12,MATCH(C126,Catalogo!$A$5:$A$12,0)),0))</f>
        <v/>
      </c>
      <c r="F126" s="25" t="str">
        <f aca="false">IF(OR(C126="",D126=""),"",D126*E126)</f>
        <v/>
      </c>
      <c r="G126" s="21"/>
      <c r="H126" s="21"/>
    </row>
    <row r="127" customFormat="false" ht="15" hidden="false" customHeight="false" outlineLevel="0" collapsed="false">
      <c r="A127" s="23"/>
      <c r="B127" s="21"/>
      <c r="C127" s="21"/>
      <c r="D127" s="24"/>
      <c r="E127" s="25" t="str">
        <f aca="false">IF(C127="","",IFERROR(INDEX(Catalogo!$C$5:$C$12,MATCH(C127,Catalogo!$A$5:$A$12,0)),0))</f>
        <v/>
      </c>
      <c r="F127" s="25" t="str">
        <f aca="false">IF(OR(C127="",D127=""),"",D127*E127)</f>
        <v/>
      </c>
      <c r="G127" s="21"/>
      <c r="H127" s="21"/>
    </row>
    <row r="128" customFormat="false" ht="15" hidden="false" customHeight="false" outlineLevel="0" collapsed="false">
      <c r="A128" s="23"/>
      <c r="B128" s="21"/>
      <c r="C128" s="21"/>
      <c r="D128" s="24"/>
      <c r="E128" s="25" t="str">
        <f aca="false">IF(C128="","",IFERROR(INDEX(Catalogo!$C$5:$C$12,MATCH(C128,Catalogo!$A$5:$A$12,0)),0))</f>
        <v/>
      </c>
      <c r="F128" s="25" t="str">
        <f aca="false">IF(OR(C128="",D128=""),"",D128*E128)</f>
        <v/>
      </c>
      <c r="G128" s="21"/>
      <c r="H128" s="21"/>
    </row>
    <row r="129" customFormat="false" ht="15" hidden="false" customHeight="false" outlineLevel="0" collapsed="false">
      <c r="A129" s="23"/>
      <c r="B129" s="21"/>
      <c r="C129" s="21"/>
      <c r="D129" s="24"/>
      <c r="E129" s="25" t="str">
        <f aca="false">IF(C129="","",IFERROR(INDEX(Catalogo!$C$5:$C$12,MATCH(C129,Catalogo!$A$5:$A$12,0)),0))</f>
        <v/>
      </c>
      <c r="F129" s="25" t="str">
        <f aca="false">IF(OR(C129="",D129=""),"",D129*E129)</f>
        <v/>
      </c>
      <c r="G129" s="21"/>
      <c r="H129" s="21"/>
    </row>
    <row r="130" customFormat="false" ht="15" hidden="false" customHeight="false" outlineLevel="0" collapsed="false">
      <c r="A130" s="23"/>
      <c r="B130" s="21"/>
      <c r="C130" s="21"/>
      <c r="D130" s="24"/>
      <c r="E130" s="25" t="str">
        <f aca="false">IF(C130="","",IFERROR(INDEX(Catalogo!$C$5:$C$12,MATCH(C130,Catalogo!$A$5:$A$12,0)),0))</f>
        <v/>
      </c>
      <c r="F130" s="25" t="str">
        <f aca="false">IF(OR(C130="",D130=""),"",D130*E130)</f>
        <v/>
      </c>
      <c r="G130" s="21"/>
      <c r="H130" s="21"/>
    </row>
    <row r="131" customFormat="false" ht="15" hidden="false" customHeight="false" outlineLevel="0" collapsed="false">
      <c r="A131" s="23"/>
      <c r="B131" s="21"/>
      <c r="C131" s="21"/>
      <c r="D131" s="24"/>
      <c r="E131" s="25" t="str">
        <f aca="false">IF(C131="","",IFERROR(INDEX(Catalogo!$C$5:$C$12,MATCH(C131,Catalogo!$A$5:$A$12,0)),0))</f>
        <v/>
      </c>
      <c r="F131" s="25" t="str">
        <f aca="false">IF(OR(C131="",D131=""),"",D131*E131)</f>
        <v/>
      </c>
      <c r="G131" s="21"/>
      <c r="H131" s="21"/>
    </row>
    <row r="132" customFormat="false" ht="15" hidden="false" customHeight="false" outlineLevel="0" collapsed="false">
      <c r="A132" s="23"/>
      <c r="B132" s="21"/>
      <c r="C132" s="21"/>
      <c r="D132" s="24"/>
      <c r="E132" s="25" t="str">
        <f aca="false">IF(C132="","",IFERROR(INDEX(Catalogo!$C$5:$C$12,MATCH(C132,Catalogo!$A$5:$A$12,0)),0))</f>
        <v/>
      </c>
      <c r="F132" s="25" t="str">
        <f aca="false">IF(OR(C132="",D132=""),"",D132*E132)</f>
        <v/>
      </c>
      <c r="G132" s="21"/>
      <c r="H132" s="21"/>
    </row>
    <row r="133" customFormat="false" ht="15" hidden="false" customHeight="false" outlineLevel="0" collapsed="false">
      <c r="A133" s="23"/>
      <c r="B133" s="21"/>
      <c r="C133" s="21"/>
      <c r="D133" s="24"/>
      <c r="E133" s="25" t="str">
        <f aca="false">IF(C133="","",IFERROR(INDEX(Catalogo!$C$5:$C$12,MATCH(C133,Catalogo!$A$5:$A$12,0)),0))</f>
        <v/>
      </c>
      <c r="F133" s="25" t="str">
        <f aca="false">IF(OR(C133="",D133=""),"",D133*E133)</f>
        <v/>
      </c>
      <c r="G133" s="21"/>
      <c r="H133" s="21"/>
    </row>
    <row r="134" customFormat="false" ht="15" hidden="false" customHeight="false" outlineLevel="0" collapsed="false">
      <c r="A134" s="23"/>
      <c r="B134" s="21"/>
      <c r="C134" s="21"/>
      <c r="D134" s="24"/>
      <c r="E134" s="25" t="str">
        <f aca="false">IF(C134="","",IFERROR(INDEX(Catalogo!$C$5:$C$12,MATCH(C134,Catalogo!$A$5:$A$12,0)),0))</f>
        <v/>
      </c>
      <c r="F134" s="25" t="str">
        <f aca="false">IF(OR(C134="",D134=""),"",D134*E134)</f>
        <v/>
      </c>
      <c r="G134" s="21"/>
      <c r="H134" s="21"/>
    </row>
    <row r="135" customFormat="false" ht="15" hidden="false" customHeight="false" outlineLevel="0" collapsed="false">
      <c r="A135" s="23"/>
      <c r="B135" s="21"/>
      <c r="C135" s="21"/>
      <c r="D135" s="24"/>
      <c r="E135" s="25" t="str">
        <f aca="false">IF(C135="","",IFERROR(INDEX(Catalogo!$C$5:$C$12,MATCH(C135,Catalogo!$A$5:$A$12,0)),0))</f>
        <v/>
      </c>
      <c r="F135" s="25" t="str">
        <f aca="false">IF(OR(C135="",D135=""),"",D135*E135)</f>
        <v/>
      </c>
      <c r="G135" s="21"/>
      <c r="H135" s="21"/>
    </row>
    <row r="136" customFormat="false" ht="15" hidden="false" customHeight="false" outlineLevel="0" collapsed="false">
      <c r="A136" s="23"/>
      <c r="B136" s="21"/>
      <c r="C136" s="21"/>
      <c r="D136" s="24"/>
      <c r="E136" s="25" t="str">
        <f aca="false">IF(C136="","",IFERROR(INDEX(Catalogo!$C$5:$C$12,MATCH(C136,Catalogo!$A$5:$A$12,0)),0))</f>
        <v/>
      </c>
      <c r="F136" s="25" t="str">
        <f aca="false">IF(OR(C136="",D136=""),"",D136*E136)</f>
        <v/>
      </c>
      <c r="G136" s="21"/>
      <c r="H136" s="21"/>
    </row>
    <row r="137" customFormat="false" ht="15" hidden="false" customHeight="false" outlineLevel="0" collapsed="false">
      <c r="A137" s="23"/>
      <c r="B137" s="21"/>
      <c r="C137" s="21"/>
      <c r="D137" s="24"/>
      <c r="E137" s="25" t="str">
        <f aca="false">IF(C137="","",IFERROR(INDEX(Catalogo!$C$5:$C$12,MATCH(C137,Catalogo!$A$5:$A$12,0)),0))</f>
        <v/>
      </c>
      <c r="F137" s="25" t="str">
        <f aca="false">IF(OR(C137="",D137=""),"",D137*E137)</f>
        <v/>
      </c>
      <c r="G137" s="21"/>
      <c r="H137" s="21"/>
    </row>
    <row r="138" customFormat="false" ht="15" hidden="false" customHeight="false" outlineLevel="0" collapsed="false">
      <c r="A138" s="23"/>
      <c r="B138" s="21"/>
      <c r="C138" s="21"/>
      <c r="D138" s="24"/>
      <c r="E138" s="25" t="str">
        <f aca="false">IF(C138="","",IFERROR(INDEX(Catalogo!$C$5:$C$12,MATCH(C138,Catalogo!$A$5:$A$12,0)),0))</f>
        <v/>
      </c>
      <c r="F138" s="25" t="str">
        <f aca="false">IF(OR(C138="",D138=""),"",D138*E138)</f>
        <v/>
      </c>
      <c r="G138" s="21"/>
      <c r="H138" s="21"/>
    </row>
    <row r="139" customFormat="false" ht="15" hidden="false" customHeight="false" outlineLevel="0" collapsed="false">
      <c r="A139" s="23"/>
      <c r="B139" s="21"/>
      <c r="C139" s="21"/>
      <c r="D139" s="24"/>
      <c r="E139" s="25" t="str">
        <f aca="false">IF(C139="","",IFERROR(INDEX(Catalogo!$C$5:$C$12,MATCH(C139,Catalogo!$A$5:$A$12,0)),0))</f>
        <v/>
      </c>
      <c r="F139" s="25" t="str">
        <f aca="false">IF(OR(C139="",D139=""),"",D139*E139)</f>
        <v/>
      </c>
      <c r="G139" s="21"/>
      <c r="H139" s="21"/>
    </row>
    <row r="140" customFormat="false" ht="15" hidden="false" customHeight="false" outlineLevel="0" collapsed="false">
      <c r="A140" s="23"/>
      <c r="B140" s="21"/>
      <c r="C140" s="21"/>
      <c r="D140" s="24"/>
      <c r="E140" s="25" t="str">
        <f aca="false">IF(C140="","",IFERROR(INDEX(Catalogo!$C$5:$C$12,MATCH(C140,Catalogo!$A$5:$A$12,0)),0))</f>
        <v/>
      </c>
      <c r="F140" s="25" t="str">
        <f aca="false">IF(OR(C140="",D140=""),"",D140*E140)</f>
        <v/>
      </c>
      <c r="G140" s="21"/>
      <c r="H140" s="21"/>
    </row>
    <row r="141" customFormat="false" ht="15" hidden="false" customHeight="false" outlineLevel="0" collapsed="false">
      <c r="A141" s="23"/>
      <c r="B141" s="21"/>
      <c r="C141" s="21"/>
      <c r="D141" s="24"/>
      <c r="E141" s="25" t="str">
        <f aca="false">IF(C141="","",IFERROR(INDEX(Catalogo!$C$5:$C$12,MATCH(C141,Catalogo!$A$5:$A$12,0)),0))</f>
        <v/>
      </c>
      <c r="F141" s="25" t="str">
        <f aca="false">IF(OR(C141="",D141=""),"",D141*E141)</f>
        <v/>
      </c>
      <c r="G141" s="21"/>
      <c r="H141" s="21"/>
    </row>
    <row r="142" customFormat="false" ht="15" hidden="false" customHeight="false" outlineLevel="0" collapsed="false">
      <c r="A142" s="23"/>
      <c r="B142" s="21"/>
      <c r="C142" s="21"/>
      <c r="D142" s="24"/>
      <c r="E142" s="25" t="str">
        <f aca="false">IF(C142="","",IFERROR(INDEX(Catalogo!$C$5:$C$12,MATCH(C142,Catalogo!$A$5:$A$12,0)),0))</f>
        <v/>
      </c>
      <c r="F142" s="25" t="str">
        <f aca="false">IF(OR(C142="",D142=""),"",D142*E142)</f>
        <v/>
      </c>
      <c r="G142" s="21"/>
      <c r="H142" s="21"/>
    </row>
    <row r="143" customFormat="false" ht="15" hidden="false" customHeight="false" outlineLevel="0" collapsed="false">
      <c r="A143" s="23"/>
      <c r="B143" s="21"/>
      <c r="C143" s="21"/>
      <c r="D143" s="24"/>
      <c r="E143" s="25" t="str">
        <f aca="false">IF(C143="","",IFERROR(INDEX(Catalogo!$C$5:$C$12,MATCH(C143,Catalogo!$A$5:$A$12,0)),0))</f>
        <v/>
      </c>
      <c r="F143" s="25" t="str">
        <f aca="false">IF(OR(C143="",D143=""),"",D143*E143)</f>
        <v/>
      </c>
      <c r="G143" s="21"/>
      <c r="H143" s="21"/>
    </row>
    <row r="144" customFormat="false" ht="15" hidden="false" customHeight="false" outlineLevel="0" collapsed="false">
      <c r="A144" s="23"/>
      <c r="B144" s="21"/>
      <c r="C144" s="21"/>
      <c r="D144" s="24"/>
      <c r="E144" s="25" t="str">
        <f aca="false">IF(C144="","",IFERROR(INDEX(Catalogo!$C$5:$C$12,MATCH(C144,Catalogo!$A$5:$A$12,0)),0))</f>
        <v/>
      </c>
      <c r="F144" s="25" t="str">
        <f aca="false">IF(OR(C144="",D144=""),"",D144*E144)</f>
        <v/>
      </c>
      <c r="G144" s="21"/>
      <c r="H144" s="21"/>
    </row>
    <row r="145" customFormat="false" ht="15" hidden="false" customHeight="false" outlineLevel="0" collapsed="false">
      <c r="A145" s="23"/>
      <c r="B145" s="21"/>
      <c r="C145" s="21"/>
      <c r="D145" s="24"/>
      <c r="E145" s="25" t="str">
        <f aca="false">IF(C145="","",IFERROR(INDEX(Catalogo!$C$5:$C$12,MATCH(C145,Catalogo!$A$5:$A$12,0)),0))</f>
        <v/>
      </c>
      <c r="F145" s="25" t="str">
        <f aca="false">IF(OR(C145="",D145=""),"",D145*E145)</f>
        <v/>
      </c>
      <c r="G145" s="21"/>
      <c r="H145" s="21"/>
    </row>
    <row r="146" customFormat="false" ht="15" hidden="false" customHeight="false" outlineLevel="0" collapsed="false">
      <c r="A146" s="23"/>
      <c r="B146" s="21"/>
      <c r="C146" s="21"/>
      <c r="D146" s="24"/>
      <c r="E146" s="25" t="str">
        <f aca="false">IF(C146="","",IFERROR(INDEX(Catalogo!$C$5:$C$12,MATCH(C146,Catalogo!$A$5:$A$12,0)),0))</f>
        <v/>
      </c>
      <c r="F146" s="25" t="str">
        <f aca="false">IF(OR(C146="",D146=""),"",D146*E146)</f>
        <v/>
      </c>
      <c r="G146" s="21"/>
      <c r="H146" s="21"/>
    </row>
    <row r="147" customFormat="false" ht="15" hidden="false" customHeight="false" outlineLevel="0" collapsed="false">
      <c r="A147" s="23"/>
      <c r="B147" s="21"/>
      <c r="C147" s="21"/>
      <c r="D147" s="24"/>
      <c r="E147" s="25" t="str">
        <f aca="false">IF(C147="","",IFERROR(INDEX(Catalogo!$C$5:$C$12,MATCH(C147,Catalogo!$A$5:$A$12,0)),0))</f>
        <v/>
      </c>
      <c r="F147" s="25" t="str">
        <f aca="false">IF(OR(C147="",D147=""),"",D147*E147)</f>
        <v/>
      </c>
      <c r="G147" s="21"/>
      <c r="H147" s="21"/>
    </row>
    <row r="148" customFormat="false" ht="15" hidden="false" customHeight="false" outlineLevel="0" collapsed="false">
      <c r="A148" s="23"/>
      <c r="B148" s="21"/>
      <c r="C148" s="21"/>
      <c r="D148" s="24"/>
      <c r="E148" s="25" t="str">
        <f aca="false">IF(C148="","",IFERROR(INDEX(Catalogo!$C$5:$C$12,MATCH(C148,Catalogo!$A$5:$A$12,0)),0))</f>
        <v/>
      </c>
      <c r="F148" s="25" t="str">
        <f aca="false">IF(OR(C148="",D148=""),"",D148*E148)</f>
        <v/>
      </c>
      <c r="G148" s="21"/>
      <c r="H148" s="21"/>
    </row>
    <row r="149" customFormat="false" ht="15" hidden="false" customHeight="false" outlineLevel="0" collapsed="false">
      <c r="A149" s="23"/>
      <c r="B149" s="21"/>
      <c r="C149" s="21"/>
      <c r="D149" s="24"/>
      <c r="E149" s="25" t="str">
        <f aca="false">IF(C149="","",IFERROR(INDEX(Catalogo!$C$5:$C$12,MATCH(C149,Catalogo!$A$5:$A$12,0)),0))</f>
        <v/>
      </c>
      <c r="F149" s="25" t="str">
        <f aca="false">IF(OR(C149="",D149=""),"",D149*E149)</f>
        <v/>
      </c>
      <c r="G149" s="21"/>
      <c r="H149" s="21"/>
    </row>
    <row r="150" customFormat="false" ht="15" hidden="false" customHeight="false" outlineLevel="0" collapsed="false">
      <c r="A150" s="23"/>
      <c r="B150" s="21"/>
      <c r="C150" s="21"/>
      <c r="D150" s="24"/>
      <c r="E150" s="25" t="str">
        <f aca="false">IF(C150="","",IFERROR(INDEX(Catalogo!$C$5:$C$12,MATCH(C150,Catalogo!$A$5:$A$12,0)),0))</f>
        <v/>
      </c>
      <c r="F150" s="25" t="str">
        <f aca="false">IF(OR(C150="",D150=""),"",D150*E150)</f>
        <v/>
      </c>
      <c r="G150" s="21"/>
      <c r="H150" s="21"/>
    </row>
    <row r="151" customFormat="false" ht="15" hidden="false" customHeight="false" outlineLevel="0" collapsed="false">
      <c r="A151" s="23"/>
      <c r="B151" s="21"/>
      <c r="C151" s="21"/>
      <c r="D151" s="24"/>
      <c r="E151" s="25" t="str">
        <f aca="false">IF(C151="","",IFERROR(INDEX(Catalogo!$C$5:$C$12,MATCH(C151,Catalogo!$A$5:$A$12,0)),0))</f>
        <v/>
      </c>
      <c r="F151" s="25" t="str">
        <f aca="false">IF(OR(C151="",D151=""),"",D151*E151)</f>
        <v/>
      </c>
      <c r="G151" s="21"/>
      <c r="H151" s="21"/>
    </row>
    <row r="152" customFormat="false" ht="15" hidden="false" customHeight="false" outlineLevel="0" collapsed="false">
      <c r="A152" s="23"/>
      <c r="B152" s="21"/>
      <c r="C152" s="21"/>
      <c r="D152" s="24"/>
      <c r="E152" s="25" t="str">
        <f aca="false">IF(C152="","",IFERROR(INDEX(Catalogo!$C$5:$C$12,MATCH(C152,Catalogo!$A$5:$A$12,0)),0))</f>
        <v/>
      </c>
      <c r="F152" s="25" t="str">
        <f aca="false">IF(OR(C152="",D152=""),"",D152*E152)</f>
        <v/>
      </c>
      <c r="G152" s="21"/>
      <c r="H152" s="21"/>
    </row>
    <row r="153" customFormat="false" ht="15" hidden="false" customHeight="false" outlineLevel="0" collapsed="false">
      <c r="A153" s="23"/>
      <c r="B153" s="21"/>
      <c r="C153" s="21"/>
      <c r="D153" s="24"/>
      <c r="E153" s="25" t="str">
        <f aca="false">IF(C153="","",IFERROR(INDEX(Catalogo!$C$5:$C$12,MATCH(C153,Catalogo!$A$5:$A$12,0)),0))</f>
        <v/>
      </c>
      <c r="F153" s="25" t="str">
        <f aca="false">IF(OR(C153="",D153=""),"",D153*E153)</f>
        <v/>
      </c>
      <c r="G153" s="21"/>
      <c r="H153" s="21"/>
    </row>
    <row r="154" customFormat="false" ht="15" hidden="false" customHeight="false" outlineLevel="0" collapsed="false">
      <c r="A154" s="23"/>
      <c r="B154" s="21"/>
      <c r="C154" s="21"/>
      <c r="D154" s="24"/>
      <c r="E154" s="25" t="str">
        <f aca="false">IF(C154="","",IFERROR(INDEX(Catalogo!$C$5:$C$12,MATCH(C154,Catalogo!$A$5:$A$12,0)),0))</f>
        <v/>
      </c>
      <c r="F154" s="25" t="str">
        <f aca="false">IF(OR(C154="",D154=""),"",D154*E154)</f>
        <v/>
      </c>
      <c r="G154" s="21"/>
      <c r="H154" s="21"/>
    </row>
    <row r="155" customFormat="false" ht="15" hidden="false" customHeight="false" outlineLevel="0" collapsed="false">
      <c r="A155" s="23"/>
      <c r="B155" s="21"/>
      <c r="C155" s="21"/>
      <c r="D155" s="24"/>
      <c r="E155" s="25" t="str">
        <f aca="false">IF(C155="","",IFERROR(INDEX(Catalogo!$C$5:$C$12,MATCH(C155,Catalogo!$A$5:$A$12,0)),0))</f>
        <v/>
      </c>
      <c r="F155" s="25" t="str">
        <f aca="false">IF(OR(C155="",D155=""),"",D155*E155)</f>
        <v/>
      </c>
      <c r="G155" s="21"/>
      <c r="H155" s="21"/>
    </row>
    <row r="156" customFormat="false" ht="15" hidden="false" customHeight="false" outlineLevel="0" collapsed="false">
      <c r="A156" s="23"/>
      <c r="B156" s="21"/>
      <c r="C156" s="21"/>
      <c r="D156" s="24"/>
      <c r="E156" s="25" t="str">
        <f aca="false">IF(C156="","",IFERROR(INDEX(Catalogo!$C$5:$C$12,MATCH(C156,Catalogo!$A$5:$A$12,0)),0))</f>
        <v/>
      </c>
      <c r="F156" s="25" t="str">
        <f aca="false">IF(OR(C156="",D156=""),"",D156*E156)</f>
        <v/>
      </c>
      <c r="G156" s="21"/>
      <c r="H156" s="21"/>
    </row>
    <row r="157" customFormat="false" ht="15" hidden="false" customHeight="false" outlineLevel="0" collapsed="false">
      <c r="A157" s="23"/>
      <c r="B157" s="21"/>
      <c r="C157" s="21"/>
      <c r="D157" s="24"/>
      <c r="E157" s="25" t="str">
        <f aca="false">IF(C157="","",IFERROR(INDEX(Catalogo!$C$5:$C$12,MATCH(C157,Catalogo!$A$5:$A$12,0)),0))</f>
        <v/>
      </c>
      <c r="F157" s="25" t="str">
        <f aca="false">IF(OR(C157="",D157=""),"",D157*E157)</f>
        <v/>
      </c>
      <c r="G157" s="21"/>
      <c r="H157" s="21"/>
    </row>
    <row r="158" customFormat="false" ht="15" hidden="false" customHeight="false" outlineLevel="0" collapsed="false">
      <c r="A158" s="23"/>
      <c r="B158" s="21"/>
      <c r="C158" s="21"/>
      <c r="D158" s="24"/>
      <c r="E158" s="25" t="str">
        <f aca="false">IF(C158="","",IFERROR(INDEX(Catalogo!$C$5:$C$12,MATCH(C158,Catalogo!$A$5:$A$12,0)),0))</f>
        <v/>
      </c>
      <c r="F158" s="25" t="str">
        <f aca="false">IF(OR(C158="",D158=""),"",D158*E158)</f>
        <v/>
      </c>
      <c r="G158" s="21"/>
      <c r="H158" s="21"/>
    </row>
    <row r="159" customFormat="false" ht="15" hidden="false" customHeight="false" outlineLevel="0" collapsed="false">
      <c r="A159" s="23"/>
      <c r="B159" s="21"/>
      <c r="C159" s="21"/>
      <c r="D159" s="24"/>
      <c r="E159" s="25" t="str">
        <f aca="false">IF(C159="","",IFERROR(INDEX(Catalogo!$C$5:$C$12,MATCH(C159,Catalogo!$A$5:$A$12,0)),0))</f>
        <v/>
      </c>
      <c r="F159" s="25" t="str">
        <f aca="false">IF(OR(C159="",D159=""),"",D159*E159)</f>
        <v/>
      </c>
      <c r="G159" s="21"/>
      <c r="H159" s="21"/>
    </row>
    <row r="160" customFormat="false" ht="15" hidden="false" customHeight="false" outlineLevel="0" collapsed="false">
      <c r="A160" s="23"/>
      <c r="B160" s="21"/>
      <c r="C160" s="21"/>
      <c r="D160" s="24"/>
      <c r="E160" s="25" t="str">
        <f aca="false">IF(C160="","",IFERROR(INDEX(Catalogo!$C$5:$C$12,MATCH(C160,Catalogo!$A$5:$A$12,0)),0))</f>
        <v/>
      </c>
      <c r="F160" s="25" t="str">
        <f aca="false">IF(OR(C160="",D160=""),"",D160*E160)</f>
        <v/>
      </c>
      <c r="G160" s="21"/>
      <c r="H160" s="21"/>
    </row>
    <row r="161" customFormat="false" ht="15" hidden="false" customHeight="false" outlineLevel="0" collapsed="false">
      <c r="A161" s="23"/>
      <c r="B161" s="21"/>
      <c r="C161" s="21"/>
      <c r="D161" s="24"/>
      <c r="E161" s="25" t="str">
        <f aca="false">IF(C161="","",IFERROR(INDEX(Catalogo!$C$5:$C$12,MATCH(C161,Catalogo!$A$5:$A$12,0)),0))</f>
        <v/>
      </c>
      <c r="F161" s="25" t="str">
        <f aca="false">IF(OR(C161="",D161=""),"",D161*E161)</f>
        <v/>
      </c>
      <c r="G161" s="21"/>
      <c r="H161" s="21"/>
    </row>
    <row r="162" customFormat="false" ht="15" hidden="false" customHeight="false" outlineLevel="0" collapsed="false">
      <c r="A162" s="23"/>
      <c r="B162" s="21"/>
      <c r="C162" s="21"/>
      <c r="D162" s="24"/>
      <c r="E162" s="25" t="str">
        <f aca="false">IF(C162="","",IFERROR(INDEX(Catalogo!$C$5:$C$12,MATCH(C162,Catalogo!$A$5:$A$12,0)),0))</f>
        <v/>
      </c>
      <c r="F162" s="25" t="str">
        <f aca="false">IF(OR(C162="",D162=""),"",D162*E162)</f>
        <v/>
      </c>
      <c r="G162" s="21"/>
      <c r="H162" s="21"/>
    </row>
    <row r="163" customFormat="false" ht="15" hidden="false" customHeight="false" outlineLevel="0" collapsed="false">
      <c r="A163" s="23"/>
      <c r="B163" s="21"/>
      <c r="C163" s="21"/>
      <c r="D163" s="24"/>
      <c r="E163" s="25" t="str">
        <f aca="false">IF(C163="","",IFERROR(INDEX(Catalogo!$C$5:$C$12,MATCH(C163,Catalogo!$A$5:$A$12,0)),0))</f>
        <v/>
      </c>
      <c r="F163" s="25" t="str">
        <f aca="false">IF(OR(C163="",D163=""),"",D163*E163)</f>
        <v/>
      </c>
      <c r="G163" s="21"/>
      <c r="H163" s="21"/>
    </row>
    <row r="164" customFormat="false" ht="15" hidden="false" customHeight="false" outlineLevel="0" collapsed="false">
      <c r="A164" s="23"/>
      <c r="B164" s="21"/>
      <c r="C164" s="21"/>
      <c r="D164" s="24"/>
      <c r="E164" s="25" t="str">
        <f aca="false">IF(C164="","",IFERROR(INDEX(Catalogo!$C$5:$C$12,MATCH(C164,Catalogo!$A$5:$A$12,0)),0))</f>
        <v/>
      </c>
      <c r="F164" s="25" t="str">
        <f aca="false">IF(OR(C164="",D164=""),"",D164*E164)</f>
        <v/>
      </c>
      <c r="G164" s="21"/>
      <c r="H164" s="21"/>
    </row>
    <row r="165" customFormat="false" ht="15" hidden="false" customHeight="false" outlineLevel="0" collapsed="false">
      <c r="A165" s="23"/>
      <c r="B165" s="21"/>
      <c r="C165" s="21"/>
      <c r="D165" s="24"/>
      <c r="E165" s="25" t="str">
        <f aca="false">IF(C165="","",IFERROR(INDEX(Catalogo!$C$5:$C$12,MATCH(C165,Catalogo!$A$5:$A$12,0)),0))</f>
        <v/>
      </c>
      <c r="F165" s="25" t="str">
        <f aca="false">IF(OR(C165="",D165=""),"",D165*E165)</f>
        <v/>
      </c>
      <c r="G165" s="21"/>
      <c r="H165" s="21"/>
    </row>
    <row r="166" customFormat="false" ht="15" hidden="false" customHeight="false" outlineLevel="0" collapsed="false">
      <c r="A166" s="23"/>
      <c r="B166" s="21"/>
      <c r="C166" s="21"/>
      <c r="D166" s="24"/>
      <c r="E166" s="25" t="str">
        <f aca="false">IF(C166="","",IFERROR(INDEX(Catalogo!$C$5:$C$12,MATCH(C166,Catalogo!$A$5:$A$12,0)),0))</f>
        <v/>
      </c>
      <c r="F166" s="25" t="str">
        <f aca="false">IF(OR(C166="",D166=""),"",D166*E166)</f>
        <v/>
      </c>
      <c r="G166" s="21"/>
      <c r="H166" s="21"/>
    </row>
    <row r="167" customFormat="false" ht="15" hidden="false" customHeight="false" outlineLevel="0" collapsed="false">
      <c r="A167" s="23"/>
      <c r="B167" s="21"/>
      <c r="C167" s="21"/>
      <c r="D167" s="24"/>
      <c r="E167" s="25" t="str">
        <f aca="false">IF(C167="","",IFERROR(INDEX(Catalogo!$C$5:$C$12,MATCH(C167,Catalogo!$A$5:$A$12,0)),0))</f>
        <v/>
      </c>
      <c r="F167" s="25" t="str">
        <f aca="false">IF(OR(C167="",D167=""),"",D167*E167)</f>
        <v/>
      </c>
      <c r="G167" s="21"/>
      <c r="H167" s="21"/>
    </row>
    <row r="168" customFormat="false" ht="15" hidden="false" customHeight="false" outlineLevel="0" collapsed="false">
      <c r="A168" s="23"/>
      <c r="B168" s="21"/>
      <c r="C168" s="21"/>
      <c r="D168" s="24"/>
      <c r="E168" s="25" t="str">
        <f aca="false">IF(C168="","",IFERROR(INDEX(Catalogo!$C$5:$C$12,MATCH(C168,Catalogo!$A$5:$A$12,0)),0))</f>
        <v/>
      </c>
      <c r="F168" s="25" t="str">
        <f aca="false">IF(OR(C168="",D168=""),"",D168*E168)</f>
        <v/>
      </c>
      <c r="G168" s="21"/>
      <c r="H168" s="21"/>
    </row>
    <row r="169" customFormat="false" ht="15" hidden="false" customHeight="false" outlineLevel="0" collapsed="false">
      <c r="A169" s="23"/>
      <c r="B169" s="21"/>
      <c r="C169" s="21"/>
      <c r="D169" s="24"/>
      <c r="E169" s="25" t="str">
        <f aca="false">IF(C169="","",IFERROR(INDEX(Catalogo!$C$5:$C$12,MATCH(C169,Catalogo!$A$5:$A$12,0)),0))</f>
        <v/>
      </c>
      <c r="F169" s="25" t="str">
        <f aca="false">IF(OR(C169="",D169=""),"",D169*E169)</f>
        <v/>
      </c>
      <c r="G169" s="21"/>
      <c r="H169" s="21"/>
    </row>
    <row r="170" customFormat="false" ht="15" hidden="false" customHeight="false" outlineLevel="0" collapsed="false">
      <c r="A170" s="23"/>
      <c r="B170" s="21"/>
      <c r="C170" s="21"/>
      <c r="D170" s="24"/>
      <c r="E170" s="25" t="str">
        <f aca="false">IF(C170="","",IFERROR(INDEX(Catalogo!$C$5:$C$12,MATCH(C170,Catalogo!$A$5:$A$12,0)),0))</f>
        <v/>
      </c>
      <c r="F170" s="25" t="str">
        <f aca="false">IF(OR(C170="",D170=""),"",D170*E170)</f>
        <v/>
      </c>
      <c r="G170" s="21"/>
      <c r="H170" s="21"/>
    </row>
    <row r="171" customFormat="false" ht="15" hidden="false" customHeight="false" outlineLevel="0" collapsed="false">
      <c r="A171" s="23"/>
      <c r="B171" s="21"/>
      <c r="C171" s="21"/>
      <c r="D171" s="24"/>
      <c r="E171" s="25" t="str">
        <f aca="false">IF(C171="","",IFERROR(INDEX(Catalogo!$C$5:$C$12,MATCH(C171,Catalogo!$A$5:$A$12,0)),0))</f>
        <v/>
      </c>
      <c r="F171" s="25" t="str">
        <f aca="false">IF(OR(C171="",D171=""),"",D171*E171)</f>
        <v/>
      </c>
      <c r="G171" s="21"/>
      <c r="H171" s="21"/>
    </row>
    <row r="172" customFormat="false" ht="15" hidden="false" customHeight="false" outlineLevel="0" collapsed="false">
      <c r="A172" s="23"/>
      <c r="B172" s="21"/>
      <c r="C172" s="21"/>
      <c r="D172" s="24"/>
      <c r="E172" s="25" t="str">
        <f aca="false">IF(C172="","",IFERROR(INDEX(Catalogo!$C$5:$C$12,MATCH(C172,Catalogo!$A$5:$A$12,0)),0))</f>
        <v/>
      </c>
      <c r="F172" s="25" t="str">
        <f aca="false">IF(OR(C172="",D172=""),"",D172*E172)</f>
        <v/>
      </c>
      <c r="G172" s="21"/>
      <c r="H172" s="21"/>
    </row>
    <row r="173" customFormat="false" ht="15" hidden="false" customHeight="false" outlineLevel="0" collapsed="false">
      <c r="A173" s="23"/>
      <c r="B173" s="21"/>
      <c r="C173" s="21"/>
      <c r="D173" s="24"/>
      <c r="E173" s="25" t="str">
        <f aca="false">IF(C173="","",IFERROR(INDEX(Catalogo!$C$5:$C$12,MATCH(C173,Catalogo!$A$5:$A$12,0)),0))</f>
        <v/>
      </c>
      <c r="F173" s="25" t="str">
        <f aca="false">IF(OR(C173="",D173=""),"",D173*E173)</f>
        <v/>
      </c>
      <c r="G173" s="21"/>
      <c r="H173" s="21"/>
    </row>
    <row r="174" customFormat="false" ht="15" hidden="false" customHeight="false" outlineLevel="0" collapsed="false">
      <c r="A174" s="23"/>
      <c r="B174" s="21"/>
      <c r="C174" s="21"/>
      <c r="D174" s="24"/>
      <c r="E174" s="25" t="str">
        <f aca="false">IF(C174="","",IFERROR(INDEX(Catalogo!$C$5:$C$12,MATCH(C174,Catalogo!$A$5:$A$12,0)),0))</f>
        <v/>
      </c>
      <c r="F174" s="25" t="str">
        <f aca="false">IF(OR(C174="",D174=""),"",D174*E174)</f>
        <v/>
      </c>
      <c r="G174" s="21"/>
      <c r="H174" s="21"/>
    </row>
    <row r="175" customFormat="false" ht="15" hidden="false" customHeight="false" outlineLevel="0" collapsed="false">
      <c r="A175" s="23"/>
      <c r="B175" s="21"/>
      <c r="C175" s="21"/>
      <c r="D175" s="24"/>
      <c r="E175" s="25" t="str">
        <f aca="false">IF(C175="","",IFERROR(INDEX(Catalogo!$C$5:$C$12,MATCH(C175,Catalogo!$A$5:$A$12,0)),0))</f>
        <v/>
      </c>
      <c r="F175" s="25" t="str">
        <f aca="false">IF(OR(C175="",D175=""),"",D175*E175)</f>
        <v/>
      </c>
      <c r="G175" s="21"/>
      <c r="H175" s="21"/>
    </row>
    <row r="176" customFormat="false" ht="15" hidden="false" customHeight="false" outlineLevel="0" collapsed="false">
      <c r="A176" s="23"/>
      <c r="B176" s="21"/>
      <c r="C176" s="21"/>
      <c r="D176" s="24"/>
      <c r="E176" s="25" t="str">
        <f aca="false">IF(C176="","",IFERROR(INDEX(Catalogo!$C$5:$C$12,MATCH(C176,Catalogo!$A$5:$A$12,0)),0))</f>
        <v/>
      </c>
      <c r="F176" s="25" t="str">
        <f aca="false">IF(OR(C176="",D176=""),"",D176*E176)</f>
        <v/>
      </c>
      <c r="G176" s="21"/>
      <c r="H176" s="21"/>
    </row>
    <row r="177" customFormat="false" ht="15" hidden="false" customHeight="false" outlineLevel="0" collapsed="false">
      <c r="A177" s="23"/>
      <c r="B177" s="21"/>
      <c r="C177" s="21"/>
      <c r="D177" s="24"/>
      <c r="E177" s="25" t="str">
        <f aca="false">IF(C177="","",IFERROR(INDEX(Catalogo!$C$5:$C$12,MATCH(C177,Catalogo!$A$5:$A$12,0)),0))</f>
        <v/>
      </c>
      <c r="F177" s="25" t="str">
        <f aca="false">IF(OR(C177="",D177=""),"",D177*E177)</f>
        <v/>
      </c>
      <c r="G177" s="21"/>
      <c r="H177" s="21"/>
    </row>
    <row r="178" customFormat="false" ht="15" hidden="false" customHeight="false" outlineLevel="0" collapsed="false">
      <c r="A178" s="23"/>
      <c r="B178" s="21"/>
      <c r="C178" s="21"/>
      <c r="D178" s="24"/>
      <c r="E178" s="25" t="str">
        <f aca="false">IF(C178="","",IFERROR(INDEX(Catalogo!$C$5:$C$12,MATCH(C178,Catalogo!$A$5:$A$12,0)),0))</f>
        <v/>
      </c>
      <c r="F178" s="25" t="str">
        <f aca="false">IF(OR(C178="",D178=""),"",D178*E178)</f>
        <v/>
      </c>
      <c r="G178" s="21"/>
      <c r="H178" s="21"/>
    </row>
    <row r="179" customFormat="false" ht="15" hidden="false" customHeight="false" outlineLevel="0" collapsed="false">
      <c r="A179" s="23"/>
      <c r="B179" s="21"/>
      <c r="C179" s="21"/>
      <c r="D179" s="24"/>
      <c r="E179" s="25" t="str">
        <f aca="false">IF(C179="","",IFERROR(INDEX(Catalogo!$C$5:$C$12,MATCH(C179,Catalogo!$A$5:$A$12,0)),0))</f>
        <v/>
      </c>
      <c r="F179" s="25" t="str">
        <f aca="false">IF(OR(C179="",D179=""),"",D179*E179)</f>
        <v/>
      </c>
      <c r="G179" s="21"/>
      <c r="H179" s="21"/>
    </row>
    <row r="180" customFormat="false" ht="15" hidden="false" customHeight="false" outlineLevel="0" collapsed="false">
      <c r="A180" s="23"/>
      <c r="B180" s="21"/>
      <c r="C180" s="21"/>
      <c r="D180" s="24"/>
      <c r="E180" s="25" t="str">
        <f aca="false">IF(C180="","",IFERROR(INDEX(Catalogo!$C$5:$C$12,MATCH(C180,Catalogo!$A$5:$A$12,0)),0))</f>
        <v/>
      </c>
      <c r="F180" s="25" t="str">
        <f aca="false">IF(OR(C180="",D180=""),"",D180*E180)</f>
        <v/>
      </c>
      <c r="G180" s="21"/>
      <c r="H180" s="21"/>
    </row>
    <row r="181" customFormat="false" ht="15" hidden="false" customHeight="false" outlineLevel="0" collapsed="false">
      <c r="A181" s="23"/>
      <c r="B181" s="21"/>
      <c r="C181" s="21"/>
      <c r="D181" s="24"/>
      <c r="E181" s="25" t="str">
        <f aca="false">IF(C181="","",IFERROR(INDEX(Catalogo!$C$5:$C$12,MATCH(C181,Catalogo!$A$5:$A$12,0)),0))</f>
        <v/>
      </c>
      <c r="F181" s="25" t="str">
        <f aca="false">IF(OR(C181="",D181=""),"",D181*E181)</f>
        <v/>
      </c>
      <c r="G181" s="21"/>
      <c r="H181" s="21"/>
    </row>
    <row r="182" customFormat="false" ht="15" hidden="false" customHeight="false" outlineLevel="0" collapsed="false">
      <c r="A182" s="23"/>
      <c r="B182" s="21"/>
      <c r="C182" s="21"/>
      <c r="D182" s="24"/>
      <c r="E182" s="25" t="str">
        <f aca="false">IF(C182="","",IFERROR(INDEX(Catalogo!$C$5:$C$12,MATCH(C182,Catalogo!$A$5:$A$12,0)),0))</f>
        <v/>
      </c>
      <c r="F182" s="25" t="str">
        <f aca="false">IF(OR(C182="",D182=""),"",D182*E182)</f>
        <v/>
      </c>
      <c r="G182" s="21"/>
      <c r="H182" s="21"/>
    </row>
    <row r="183" customFormat="false" ht="15" hidden="false" customHeight="false" outlineLevel="0" collapsed="false">
      <c r="A183" s="23"/>
      <c r="B183" s="21"/>
      <c r="C183" s="21"/>
      <c r="D183" s="24"/>
      <c r="E183" s="25" t="str">
        <f aca="false">IF(C183="","",IFERROR(INDEX(Catalogo!$C$5:$C$12,MATCH(C183,Catalogo!$A$5:$A$12,0)),0))</f>
        <v/>
      </c>
      <c r="F183" s="25" t="str">
        <f aca="false">IF(OR(C183="",D183=""),"",D183*E183)</f>
        <v/>
      </c>
      <c r="G183" s="21"/>
      <c r="H183" s="21"/>
    </row>
    <row r="184" customFormat="false" ht="15" hidden="false" customHeight="false" outlineLevel="0" collapsed="false">
      <c r="A184" s="23"/>
      <c r="B184" s="21"/>
      <c r="C184" s="21"/>
      <c r="D184" s="24"/>
      <c r="E184" s="25" t="str">
        <f aca="false">IF(C184="","",IFERROR(INDEX(Catalogo!$C$5:$C$12,MATCH(C184,Catalogo!$A$5:$A$12,0)),0))</f>
        <v/>
      </c>
      <c r="F184" s="25" t="str">
        <f aca="false">IF(OR(C184="",D184=""),"",D184*E184)</f>
        <v/>
      </c>
      <c r="G184" s="21"/>
      <c r="H184" s="21"/>
    </row>
    <row r="185" customFormat="false" ht="15" hidden="false" customHeight="false" outlineLevel="0" collapsed="false">
      <c r="A185" s="23"/>
      <c r="B185" s="21"/>
      <c r="C185" s="21"/>
      <c r="D185" s="24"/>
      <c r="E185" s="25" t="str">
        <f aca="false">IF(C185="","",IFERROR(INDEX(Catalogo!$C$5:$C$12,MATCH(C185,Catalogo!$A$5:$A$12,0)),0))</f>
        <v/>
      </c>
      <c r="F185" s="25" t="str">
        <f aca="false">IF(OR(C185="",D185=""),"",D185*E185)</f>
        <v/>
      </c>
      <c r="G185" s="21"/>
      <c r="H185" s="21"/>
    </row>
    <row r="186" customFormat="false" ht="15" hidden="false" customHeight="false" outlineLevel="0" collapsed="false">
      <c r="A186" s="23"/>
      <c r="B186" s="21"/>
      <c r="C186" s="21"/>
      <c r="D186" s="24"/>
      <c r="E186" s="25" t="str">
        <f aca="false">IF(C186="","",IFERROR(INDEX(Catalogo!$C$5:$C$12,MATCH(C186,Catalogo!$A$5:$A$12,0)),0))</f>
        <v/>
      </c>
      <c r="F186" s="25" t="str">
        <f aca="false">IF(OR(C186="",D186=""),"",D186*E186)</f>
        <v/>
      </c>
      <c r="G186" s="21"/>
      <c r="H186" s="21"/>
    </row>
    <row r="187" customFormat="false" ht="15" hidden="false" customHeight="false" outlineLevel="0" collapsed="false">
      <c r="A187" s="23"/>
      <c r="B187" s="21"/>
      <c r="C187" s="21"/>
      <c r="D187" s="24"/>
      <c r="E187" s="25" t="str">
        <f aca="false">IF(C187="","",IFERROR(INDEX(Catalogo!$C$5:$C$12,MATCH(C187,Catalogo!$A$5:$A$12,0)),0))</f>
        <v/>
      </c>
      <c r="F187" s="25" t="str">
        <f aca="false">IF(OR(C187="",D187=""),"",D187*E187)</f>
        <v/>
      </c>
      <c r="G187" s="21"/>
      <c r="H187" s="21"/>
    </row>
    <row r="188" customFormat="false" ht="15" hidden="false" customHeight="false" outlineLevel="0" collapsed="false">
      <c r="A188" s="23"/>
      <c r="B188" s="21"/>
      <c r="C188" s="21"/>
      <c r="D188" s="24"/>
      <c r="E188" s="25" t="str">
        <f aca="false">IF(C188="","",IFERROR(INDEX(Catalogo!$C$5:$C$12,MATCH(C188,Catalogo!$A$5:$A$12,0)),0))</f>
        <v/>
      </c>
      <c r="F188" s="25" t="str">
        <f aca="false">IF(OR(C188="",D188=""),"",D188*E188)</f>
        <v/>
      </c>
      <c r="G188" s="21"/>
      <c r="H188" s="21"/>
    </row>
    <row r="189" customFormat="false" ht="15" hidden="false" customHeight="false" outlineLevel="0" collapsed="false">
      <c r="A189" s="23"/>
      <c r="B189" s="21"/>
      <c r="C189" s="21"/>
      <c r="D189" s="24"/>
      <c r="E189" s="25" t="str">
        <f aca="false">IF(C189="","",IFERROR(INDEX(Catalogo!$C$5:$C$12,MATCH(C189,Catalogo!$A$5:$A$12,0)),0))</f>
        <v/>
      </c>
      <c r="F189" s="25" t="str">
        <f aca="false">IF(OR(C189="",D189=""),"",D189*E189)</f>
        <v/>
      </c>
      <c r="G189" s="21"/>
      <c r="H189" s="21"/>
    </row>
    <row r="190" customFormat="false" ht="15" hidden="false" customHeight="false" outlineLevel="0" collapsed="false">
      <c r="A190" s="23"/>
      <c r="B190" s="21"/>
      <c r="C190" s="21"/>
      <c r="D190" s="24"/>
      <c r="E190" s="25" t="str">
        <f aca="false">IF(C190="","",IFERROR(INDEX(Catalogo!$C$5:$C$12,MATCH(C190,Catalogo!$A$5:$A$12,0)),0))</f>
        <v/>
      </c>
      <c r="F190" s="25" t="str">
        <f aca="false">IF(OR(C190="",D190=""),"",D190*E190)</f>
        <v/>
      </c>
      <c r="G190" s="21"/>
      <c r="H190" s="21"/>
    </row>
    <row r="191" customFormat="false" ht="15" hidden="false" customHeight="false" outlineLevel="0" collapsed="false">
      <c r="A191" s="23"/>
      <c r="B191" s="21"/>
      <c r="C191" s="21"/>
      <c r="D191" s="24"/>
      <c r="E191" s="25" t="str">
        <f aca="false">IF(C191="","",IFERROR(INDEX(Catalogo!$C$5:$C$12,MATCH(C191,Catalogo!$A$5:$A$12,0)),0))</f>
        <v/>
      </c>
      <c r="F191" s="25" t="str">
        <f aca="false">IF(OR(C191="",D191=""),"",D191*E191)</f>
        <v/>
      </c>
      <c r="G191" s="21"/>
      <c r="H191" s="21"/>
    </row>
    <row r="192" customFormat="false" ht="15" hidden="false" customHeight="false" outlineLevel="0" collapsed="false">
      <c r="A192" s="23"/>
      <c r="B192" s="21"/>
      <c r="C192" s="21"/>
      <c r="D192" s="24"/>
      <c r="E192" s="25" t="str">
        <f aca="false">IF(C192="","",IFERROR(INDEX(Catalogo!$C$5:$C$12,MATCH(C192,Catalogo!$A$5:$A$12,0)),0))</f>
        <v/>
      </c>
      <c r="F192" s="25" t="str">
        <f aca="false">IF(OR(C192="",D192=""),"",D192*E192)</f>
        <v/>
      </c>
      <c r="G192" s="21"/>
      <c r="H192" s="21"/>
    </row>
    <row r="193" customFormat="false" ht="15" hidden="false" customHeight="false" outlineLevel="0" collapsed="false">
      <c r="A193" s="23"/>
      <c r="B193" s="21"/>
      <c r="C193" s="21"/>
      <c r="D193" s="24"/>
      <c r="E193" s="25" t="str">
        <f aca="false">IF(C193="","",IFERROR(INDEX(Catalogo!$C$5:$C$12,MATCH(C193,Catalogo!$A$5:$A$12,0)),0))</f>
        <v/>
      </c>
      <c r="F193" s="25" t="str">
        <f aca="false">IF(OR(C193="",D193=""),"",D193*E193)</f>
        <v/>
      </c>
      <c r="G193" s="21"/>
      <c r="H193" s="21"/>
    </row>
    <row r="194" customFormat="false" ht="15" hidden="false" customHeight="false" outlineLevel="0" collapsed="false">
      <c r="A194" s="23"/>
      <c r="B194" s="21"/>
      <c r="C194" s="21"/>
      <c r="D194" s="24"/>
      <c r="E194" s="25" t="str">
        <f aca="false">IF(C194="","",IFERROR(INDEX(Catalogo!$C$5:$C$12,MATCH(C194,Catalogo!$A$5:$A$12,0)),0))</f>
        <v/>
      </c>
      <c r="F194" s="25" t="str">
        <f aca="false">IF(OR(C194="",D194=""),"",D194*E194)</f>
        <v/>
      </c>
      <c r="G194" s="21"/>
      <c r="H194" s="21"/>
    </row>
    <row r="195" customFormat="false" ht="15" hidden="false" customHeight="false" outlineLevel="0" collapsed="false">
      <c r="A195" s="23"/>
      <c r="B195" s="21"/>
      <c r="C195" s="21"/>
      <c r="D195" s="24"/>
      <c r="E195" s="25" t="str">
        <f aca="false">IF(C195="","",IFERROR(INDEX(Catalogo!$C$5:$C$12,MATCH(C195,Catalogo!$A$5:$A$12,0)),0))</f>
        <v/>
      </c>
      <c r="F195" s="25" t="str">
        <f aca="false">IF(OR(C195="",D195=""),"",D195*E195)</f>
        <v/>
      </c>
      <c r="G195" s="21"/>
      <c r="H195" s="21"/>
    </row>
    <row r="196" customFormat="false" ht="15" hidden="false" customHeight="false" outlineLevel="0" collapsed="false">
      <c r="A196" s="23"/>
      <c r="B196" s="21"/>
      <c r="C196" s="21"/>
      <c r="D196" s="24"/>
      <c r="E196" s="25" t="str">
        <f aca="false">IF(C196="","",IFERROR(INDEX(Catalogo!$C$5:$C$12,MATCH(C196,Catalogo!$A$5:$A$12,0)),0))</f>
        <v/>
      </c>
      <c r="F196" s="25" t="str">
        <f aca="false">IF(OR(C196="",D196=""),"",D196*E196)</f>
        <v/>
      </c>
      <c r="G196" s="21"/>
      <c r="H196" s="21"/>
    </row>
    <row r="197" customFormat="false" ht="15" hidden="false" customHeight="false" outlineLevel="0" collapsed="false">
      <c r="A197" s="23"/>
      <c r="B197" s="21"/>
      <c r="C197" s="21"/>
      <c r="D197" s="24"/>
      <c r="E197" s="25" t="str">
        <f aca="false">IF(C197="","",IFERROR(INDEX(Catalogo!$C$5:$C$12,MATCH(C197,Catalogo!$A$5:$A$12,0)),0))</f>
        <v/>
      </c>
      <c r="F197" s="25" t="str">
        <f aca="false">IF(OR(C197="",D197=""),"",D197*E197)</f>
        <v/>
      </c>
      <c r="G197" s="21"/>
      <c r="H197" s="21"/>
    </row>
    <row r="198" customFormat="false" ht="15" hidden="false" customHeight="false" outlineLevel="0" collapsed="false">
      <c r="A198" s="23"/>
      <c r="B198" s="21"/>
      <c r="C198" s="21"/>
      <c r="D198" s="24"/>
      <c r="E198" s="25" t="str">
        <f aca="false">IF(C198="","",IFERROR(INDEX(Catalogo!$C$5:$C$12,MATCH(C198,Catalogo!$A$5:$A$12,0)),0))</f>
        <v/>
      </c>
      <c r="F198" s="25" t="str">
        <f aca="false">IF(OR(C198="",D198=""),"",D198*E198)</f>
        <v/>
      </c>
      <c r="G198" s="21"/>
      <c r="H198" s="21"/>
    </row>
    <row r="199" customFormat="false" ht="15" hidden="false" customHeight="false" outlineLevel="0" collapsed="false">
      <c r="A199" s="23"/>
      <c r="B199" s="21"/>
      <c r="C199" s="21"/>
      <c r="D199" s="24"/>
      <c r="E199" s="25" t="str">
        <f aca="false">IF(C199="","",IFERROR(INDEX(Catalogo!$C$5:$C$12,MATCH(C199,Catalogo!$A$5:$A$12,0)),0))</f>
        <v/>
      </c>
      <c r="F199" s="25" t="str">
        <f aca="false">IF(OR(C199="",D199=""),"",D199*E199)</f>
        <v/>
      </c>
      <c r="G199" s="21"/>
      <c r="H199" s="21"/>
    </row>
    <row r="200" customFormat="false" ht="15" hidden="false" customHeight="false" outlineLevel="0" collapsed="false">
      <c r="A200" s="23"/>
      <c r="B200" s="21"/>
      <c r="C200" s="21"/>
      <c r="D200" s="24"/>
      <c r="E200" s="25" t="str">
        <f aca="false">IF(C200="","",IFERROR(INDEX(Catalogo!$C$5:$C$12,MATCH(C200,Catalogo!$A$5:$A$12,0)),0))</f>
        <v/>
      </c>
      <c r="F200" s="25" t="str">
        <f aca="false">IF(OR(C200="",D200=""),"",D200*E200)</f>
        <v/>
      </c>
      <c r="G200" s="21"/>
      <c r="H200" s="21"/>
    </row>
    <row r="201" customFormat="false" ht="15" hidden="false" customHeight="false" outlineLevel="0" collapsed="false">
      <c r="A201" s="23"/>
      <c r="B201" s="21"/>
      <c r="C201" s="21"/>
      <c r="D201" s="24"/>
      <c r="E201" s="25" t="str">
        <f aca="false">IF(C201="","",IFERROR(INDEX(Catalogo!$C$5:$C$12,MATCH(C201,Catalogo!$A$5:$A$12,0)),0))</f>
        <v/>
      </c>
      <c r="F201" s="25" t="str">
        <f aca="false">IF(OR(C201="",D201=""),"",D201*E201)</f>
        <v/>
      </c>
      <c r="G201" s="21"/>
      <c r="H201" s="21"/>
    </row>
    <row r="202" customFormat="false" ht="15" hidden="false" customHeight="false" outlineLevel="0" collapsed="false">
      <c r="A202" s="23"/>
      <c r="B202" s="21"/>
      <c r="C202" s="21"/>
      <c r="D202" s="24"/>
      <c r="E202" s="25" t="str">
        <f aca="false">IF(C202="","",IFERROR(INDEX(Catalogo!$C$5:$C$12,MATCH(C202,Catalogo!$A$5:$A$12,0)),0))</f>
        <v/>
      </c>
      <c r="F202" s="25" t="str">
        <f aca="false">IF(OR(C202="",D202=""),"",D202*E202)</f>
        <v/>
      </c>
      <c r="G202" s="21"/>
      <c r="H202" s="21"/>
    </row>
    <row r="203" customFormat="false" ht="15" hidden="false" customHeight="false" outlineLevel="0" collapsed="false">
      <c r="A203" s="23"/>
      <c r="B203" s="21"/>
      <c r="C203" s="21"/>
      <c r="D203" s="24"/>
      <c r="E203" s="25" t="str">
        <f aca="false">IF(C203="","",IFERROR(INDEX(Catalogo!$C$5:$C$12,MATCH(C203,Catalogo!$A$5:$A$12,0)),0))</f>
        <v/>
      </c>
      <c r="F203" s="25" t="str">
        <f aca="false">IF(OR(C203="",D203=""),"",D203*E203)</f>
        <v/>
      </c>
      <c r="G203" s="21"/>
      <c r="H203" s="21"/>
    </row>
    <row r="204" customFormat="false" ht="15" hidden="false" customHeight="false" outlineLevel="0" collapsed="false">
      <c r="A204" s="23"/>
      <c r="B204" s="21"/>
      <c r="C204" s="21"/>
      <c r="D204" s="24"/>
      <c r="E204" s="25" t="str">
        <f aca="false">IF(C204="","",IFERROR(INDEX(Catalogo!$C$5:$C$12,MATCH(C204,Catalogo!$A$5:$A$12,0)),0))</f>
        <v/>
      </c>
      <c r="F204" s="25" t="str">
        <f aca="false">IF(OR(C204="",D204=""),"",D204*E204)</f>
        <v/>
      </c>
      <c r="G204" s="21"/>
      <c r="H204" s="21"/>
    </row>
  </sheetData>
  <sheetProtection sheet="true" password="ee36" formatCells="false" formatColumns="false" formatRows="false" insertRows="false" selectLockedCells="true" selectUnlockedCells="true"/>
  <mergeCells count="2">
    <mergeCell ref="A2:H2"/>
    <mergeCell ref="A3:H3"/>
  </mergeCells>
  <dataValidations count="5">
    <dataValidation allowBlank="true" errorStyle="stop" operator="between" showDropDown="false" showErrorMessage="false" showInputMessage="false" sqref="B5:B204" type="list">
      <formula1>Clientes!$A$5:$A$11</formula1>
      <formula2>0</formula2>
    </dataValidation>
    <dataValidation allowBlank="true" errorStyle="stop" operator="between" showDropDown="false" showErrorMessage="false" showInputMessage="false" sqref="C5:C204" type="list">
      <formula1>Catalogo!$A$5:$A$12</formula1>
      <formula2>0</formula2>
    </dataValidation>
    <dataValidation allowBlank="true" error="Ingresa un número igual o mayor a 0." errorStyle="stop" errorTitle="Cantidad inválida" operator="greaterThanOrEqual" showDropDown="false" showErrorMessage="true" showInputMessage="false" sqref="D5:D204" type="decimal">
      <formula1>0</formula1>
      <formula2>0</formula2>
    </dataValidation>
    <dataValidation allowBlank="true" errorStyle="stop" operator="between" showDropDown="false" showErrorMessage="false" showInputMessage="false" sqref="G5:G204" type="list">
      <formula1>"Efectivo,Tarjeta,Transferencia"</formula1>
      <formula2>0</formula2>
    </dataValidation>
    <dataValidation allowBlank="true" errorStyle="stop" operator="between" showDropDown="false" showErrorMessage="false" showInputMessage="false" sqref="H5:H204" type="list">
      <formula1>"Pagado,Pendiente"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3"/>
  </cols>
  <sheetData>
    <row r="2" customFormat="false" ht="25.5" hidden="false" customHeight="true" outlineLevel="0" collapsed="false">
      <c r="B2" s="8" t="s">
        <v>92</v>
      </c>
      <c r="C2" s="8"/>
      <c r="D2" s="8"/>
    </row>
    <row r="3" customFormat="false" ht="15" hidden="false" customHeight="false" outlineLevel="0" collapsed="false">
      <c r="B3" s="7" t="str">
        <f aca="false">" Moneda: " &amp; Configuracion!$C$8</f>
        <v> Moneda: Local</v>
      </c>
      <c r="C3" s="7"/>
      <c r="D3" s="7"/>
    </row>
    <row r="5" customFormat="false" ht="19.5" hidden="false" customHeight="true" outlineLevel="0" collapsed="false">
      <c r="B5" s="26" t="s">
        <v>93</v>
      </c>
      <c r="C5" s="26"/>
      <c r="D5" s="26"/>
    </row>
    <row r="6" customFormat="false" ht="25.5" hidden="false" customHeight="true" outlineLevel="0" collapsed="false">
      <c r="B6" s="10" t="s">
        <v>56</v>
      </c>
      <c r="C6" s="10" t="s">
        <v>94</v>
      </c>
      <c r="D6" s="10" t="s">
        <v>95</v>
      </c>
    </row>
    <row r="7" customFormat="false" ht="15" hidden="false" customHeight="false" outlineLevel="0" collapsed="false">
      <c r="B7" s="27" t="str">
        <f aca="false">Catalogo!$A$5</f>
        <v>Consultoría por hora</v>
      </c>
      <c r="C7" s="28" t="n">
        <f aca="false">SUMIFS(Ventas!$D$5:$D$204,Ventas!$C$5:$C$204,$B7)</f>
        <v>8</v>
      </c>
      <c r="D7" s="28" t="n">
        <f aca="false">SUMIFS(Ventas!$F$5:$F$204,Ventas!$C$5:$C$204,$B7)*Configuracion!$C$11</f>
        <v>360</v>
      </c>
    </row>
    <row r="8" customFormat="false" ht="15" hidden="false" customHeight="false" outlineLevel="0" collapsed="false">
      <c r="B8" s="27" t="str">
        <f aca="false">Catalogo!$A$6</f>
        <v>Diseño de logo</v>
      </c>
      <c r="C8" s="28" t="n">
        <f aca="false">SUMIFS(Ventas!$D$5:$D$204,Ventas!$C$5:$C$204,$B8)</f>
        <v>2</v>
      </c>
      <c r="D8" s="28" t="n">
        <f aca="false">SUMIFS(Ventas!$F$5:$F$204,Ventas!$C$5:$C$204,$B8)*Configuracion!$C$11</f>
        <v>300</v>
      </c>
    </row>
    <row r="9" customFormat="false" ht="15" hidden="false" customHeight="false" outlineLevel="0" collapsed="false">
      <c r="B9" s="27" t="str">
        <f aca="false">Catalogo!$A$7</f>
        <v>Plantilla Excel básica</v>
      </c>
      <c r="C9" s="28" t="n">
        <f aca="false">SUMIFS(Ventas!$D$5:$D$204,Ventas!$C$5:$C$204,$B9)</f>
        <v>4</v>
      </c>
      <c r="D9" s="28" t="n">
        <f aca="false">SUMIFS(Ventas!$F$5:$F$204,Ventas!$C$5:$C$204,$B9)*Configuracion!$C$11</f>
        <v>28</v>
      </c>
    </row>
    <row r="10" customFormat="false" ht="15" hidden="false" customHeight="false" outlineLevel="0" collapsed="false">
      <c r="B10" s="27" t="str">
        <f aca="false">Catalogo!$A$8</f>
        <v>Plantilla Excel avanzada</v>
      </c>
      <c r="C10" s="28" t="n">
        <f aca="false">SUMIFS(Ventas!$D$5:$D$204,Ventas!$C$5:$C$204,$B10)</f>
        <v>3</v>
      </c>
      <c r="D10" s="28" t="n">
        <f aca="false">SUMIFS(Ventas!$F$5:$F$204,Ventas!$C$5:$C$204,$B10)*Configuracion!$C$11</f>
        <v>45</v>
      </c>
    </row>
    <row r="11" customFormat="false" ht="15" hidden="false" customHeight="false" outlineLevel="0" collapsed="false">
      <c r="B11" s="27" t="str">
        <f aca="false">Catalogo!$A$9</f>
        <v>Paquete de mantenimiento mensual</v>
      </c>
      <c r="C11" s="28" t="n">
        <f aca="false">SUMIFS(Ventas!$D$5:$D$204,Ventas!$C$5:$C$204,$B11)</f>
        <v>2</v>
      </c>
      <c r="D11" s="28" t="n">
        <f aca="false">SUMIFS(Ventas!$F$5:$F$204,Ventas!$C$5:$C$204,$B11)*Configuracion!$C$11</f>
        <v>400</v>
      </c>
    </row>
    <row r="12" customFormat="false" ht="15" hidden="false" customHeight="false" outlineLevel="0" collapsed="false">
      <c r="B12" s="27" t="str">
        <f aca="false">Catalogo!$A$10</f>
        <v>Curso en línea</v>
      </c>
      <c r="C12" s="28" t="n">
        <f aca="false">SUMIFS(Ventas!$D$5:$D$204,Ventas!$C$5:$C$204,$B12)</f>
        <v>3</v>
      </c>
      <c r="D12" s="28" t="n">
        <f aca="false">SUMIFS(Ventas!$F$5:$F$204,Ventas!$C$5:$C$204,$B12)*Configuracion!$C$11</f>
        <v>120</v>
      </c>
    </row>
    <row r="13" customFormat="false" ht="15" hidden="false" customHeight="false" outlineLevel="0" collapsed="false">
      <c r="B13" s="27" t="n">
        <f aca="false">Catalogo!$A$11</f>
        <v>0</v>
      </c>
      <c r="C13" s="28" t="n">
        <f aca="false">SUMIFS(Ventas!$D$5:$D$204,Ventas!$C$5:$C$204,$B13)</f>
        <v>0</v>
      </c>
      <c r="D13" s="28" t="n">
        <f aca="false">SUMIFS(Ventas!$F$5:$F$204,Ventas!$C$5:$C$204,$B13)*Configuracion!$C$11</f>
        <v>0</v>
      </c>
    </row>
    <row r="14" customFormat="false" ht="15" hidden="false" customHeight="false" outlineLevel="0" collapsed="false">
      <c r="B14" s="27" t="n">
        <f aca="false">Catalogo!$A$12</f>
        <v>0</v>
      </c>
      <c r="C14" s="28" t="n">
        <f aca="false">SUMIFS(Ventas!$D$5:$D$204,Ventas!$C$5:$C$204,$B14)</f>
        <v>0</v>
      </c>
      <c r="D14" s="28" t="n">
        <f aca="false">SUMIFS(Ventas!$F$5:$F$204,Ventas!$C$5:$C$204,$B14)*Configuracion!$C$11</f>
        <v>0</v>
      </c>
    </row>
    <row r="17" customFormat="false" ht="19.5" hidden="false" customHeight="true" outlineLevel="0" collapsed="false">
      <c r="B17" s="26" t="s">
        <v>96</v>
      </c>
      <c r="C17" s="26"/>
    </row>
    <row r="18" customFormat="false" ht="18" hidden="false" customHeight="true" outlineLevel="0" collapsed="false">
      <c r="B18" s="10" t="s">
        <v>68</v>
      </c>
      <c r="C18" s="10" t="s">
        <v>97</v>
      </c>
    </row>
    <row r="19" customFormat="false" ht="15" hidden="false" customHeight="false" outlineLevel="0" collapsed="false">
      <c r="B19" s="27" t="str">
        <f aca="false">Clientes!$A$5</f>
        <v>María Fernández</v>
      </c>
      <c r="C19" s="28" t="n">
        <f aca="false">SUMIFS(Ventas!$F$5:$F$204,Ventas!$B$5:$B$204,$B19)*Configuracion!$C$11</f>
        <v>62</v>
      </c>
    </row>
    <row r="20" customFormat="false" ht="15" hidden="false" customHeight="false" outlineLevel="0" collapsed="false">
      <c r="B20" s="27" t="str">
        <f aca="false">Clientes!$A$6</f>
        <v>Carlos Rojas</v>
      </c>
      <c r="C20" s="28" t="n">
        <f aca="false">SUMIFS(Ventas!$F$5:$F$204,Ventas!$B$5:$B$204,$B20)*Configuracion!$C$11</f>
        <v>236</v>
      </c>
    </row>
    <row r="21" customFormat="false" ht="15" hidden="false" customHeight="false" outlineLevel="0" collapsed="false">
      <c r="B21" s="27" t="str">
        <f aca="false">Clientes!$A$7</f>
        <v>Tienda El Sol S.A.C.</v>
      </c>
      <c r="C21" s="28" t="n">
        <f aca="false">SUMIFS(Ventas!$F$5:$F$204,Ventas!$B$5:$B$204,$B21)*Configuracion!$C$11</f>
        <v>375</v>
      </c>
    </row>
    <row r="22" customFormat="false" ht="15" hidden="false" customHeight="false" outlineLevel="0" collapsed="false">
      <c r="B22" s="27" t="str">
        <f aca="false">Clientes!$A$8</f>
        <v>Laura Gómez</v>
      </c>
      <c r="C22" s="28" t="n">
        <f aca="false">SUMIFS(Ventas!$F$5:$F$204,Ventas!$B$5:$B$204,$B22)*Configuracion!$C$11</f>
        <v>180</v>
      </c>
    </row>
    <row r="23" customFormat="false" ht="15" hidden="false" customHeight="false" outlineLevel="0" collapsed="false">
      <c r="B23" s="27" t="str">
        <f aca="false">Clientes!$A$9</f>
        <v>Distribuidora Andina</v>
      </c>
      <c r="C23" s="28" t="n">
        <f aca="false">SUMIFS(Ventas!$F$5:$F$204,Ventas!$B$5:$B$204,$B23)*Configuracion!$C$11</f>
        <v>400</v>
      </c>
    </row>
    <row r="24" customFormat="false" ht="15" hidden="false" customHeight="false" outlineLevel="0" collapsed="false">
      <c r="B24" s="27" t="n">
        <f aca="false">Clientes!$A$10</f>
        <v>0</v>
      </c>
      <c r="C24" s="28" t="n">
        <f aca="false">SUMIFS(Ventas!$F$5:$F$204,Ventas!$B$5:$B$204,$B24)*Configuracion!$C$11</f>
        <v>0</v>
      </c>
    </row>
    <row r="25" customFormat="false" ht="15" hidden="false" customHeight="false" outlineLevel="0" collapsed="false">
      <c r="B25" s="27" t="n">
        <f aca="false">Clientes!$A$11</f>
        <v>0</v>
      </c>
      <c r="C25" s="28" t="n">
        <f aca="false">SUMIFS(Ventas!$F$5:$F$204,Ventas!$B$5:$B$204,$B25)*Configuracion!$C$11</f>
        <v>0</v>
      </c>
    </row>
    <row r="28" customFormat="false" ht="19.5" hidden="false" customHeight="true" outlineLevel="0" collapsed="false">
      <c r="B28" s="26" t="s">
        <v>98</v>
      </c>
      <c r="C28" s="26"/>
      <c r="D28" s="26"/>
    </row>
    <row r="29" customFormat="false" ht="18" hidden="false" customHeight="true" outlineLevel="0" collapsed="false">
      <c r="B29" s="10" t="s">
        <v>99</v>
      </c>
      <c r="C29" s="10" t="s">
        <v>95</v>
      </c>
      <c r="D29" s="10" t="s">
        <v>100</v>
      </c>
    </row>
    <row r="30" customFormat="false" ht="15" hidden="false" customHeight="false" outlineLevel="0" collapsed="false">
      <c r="B30" s="27" t="s">
        <v>101</v>
      </c>
      <c r="C30" s="28" t="n">
        <f aca="false">SUMIFS(Ventas!$F$5:$F$204,Ventas!$A$5:$A$204,"&gt;="&amp;DATE(Configuracion!$C$9,1,1),Ventas!$A$5:$A$204,"&lt;="&amp;EOMONTH(DATE(Configuracion!$C$9,1,1),0))*Configuracion!$C$11</f>
        <v>522</v>
      </c>
      <c r="D30" s="29" t="n">
        <f aca="false">COUNTIFS(Ventas!$A$5:$A$204,"&gt;="&amp;DATE(Configuracion!$C$9,1,1),Ventas!$A$5:$A$204,"&lt;="&amp;EOMONTH(DATE(Configuracion!$C$9,1,1),0))</f>
        <v>5</v>
      </c>
    </row>
    <row r="31" customFormat="false" ht="15" hidden="false" customHeight="false" outlineLevel="0" collapsed="false">
      <c r="B31" s="27" t="s">
        <v>102</v>
      </c>
      <c r="C31" s="28" t="n">
        <f aca="false">SUMIFS(Ventas!$F$5:$F$204,Ventas!$A$5:$A$204,"&gt;="&amp;DATE(Configuracion!$C$9,2,1),Ventas!$A$5:$A$204,"&lt;="&amp;EOMONTH(DATE(Configuracion!$C$9,2,1),0))*Configuracion!$C$11</f>
        <v>436</v>
      </c>
      <c r="D31" s="29" t="n">
        <f aca="false">COUNTIFS(Ventas!$A$5:$A$204,"&gt;="&amp;DATE(Configuracion!$C$9,2,1),Ventas!$A$5:$A$204,"&lt;="&amp;EOMONTH(DATE(Configuracion!$C$9,2,1),0))</f>
        <v>4</v>
      </c>
    </row>
    <row r="32" customFormat="false" ht="15" hidden="false" customHeight="false" outlineLevel="0" collapsed="false">
      <c r="B32" s="27" t="s">
        <v>103</v>
      </c>
      <c r="C32" s="28" t="n">
        <f aca="false">SUMIFS(Ventas!$F$5:$F$204,Ventas!$A$5:$A$204,"&gt;="&amp;DATE(Configuracion!$C$9,3,1),Ventas!$A$5:$A$204,"&lt;="&amp;EOMONTH(DATE(Configuracion!$C$9,3,1),0))*Configuracion!$C$11</f>
        <v>295</v>
      </c>
      <c r="D32" s="29" t="n">
        <f aca="false">COUNTIFS(Ventas!$A$5:$A$204,"&gt;="&amp;DATE(Configuracion!$C$9,3,1),Ventas!$A$5:$A$204,"&lt;="&amp;EOMONTH(DATE(Configuracion!$C$9,3,1),0))</f>
        <v>3</v>
      </c>
    </row>
    <row r="33" customFormat="false" ht="15" hidden="false" customHeight="false" outlineLevel="0" collapsed="false">
      <c r="B33" s="27" t="s">
        <v>104</v>
      </c>
      <c r="C33" s="28" t="n">
        <f aca="false">SUMIFS(Ventas!$F$5:$F$204,Ventas!$A$5:$A$204,"&gt;="&amp;DATE(Configuracion!$C$9,4,1),Ventas!$A$5:$A$204,"&lt;="&amp;EOMONTH(DATE(Configuracion!$C$9,4,1),0))*Configuracion!$C$11</f>
        <v>0</v>
      </c>
      <c r="D33" s="29" t="n">
        <f aca="false">COUNTIFS(Ventas!$A$5:$A$204,"&gt;="&amp;DATE(Configuracion!$C$9,4,1),Ventas!$A$5:$A$204,"&lt;="&amp;EOMONTH(DATE(Configuracion!$C$9,4,1),0))</f>
        <v>0</v>
      </c>
    </row>
    <row r="34" customFormat="false" ht="15" hidden="false" customHeight="false" outlineLevel="0" collapsed="false">
      <c r="B34" s="27" t="s">
        <v>105</v>
      </c>
      <c r="C34" s="28" t="n">
        <f aca="false">SUMIFS(Ventas!$F$5:$F$204,Ventas!$A$5:$A$204,"&gt;="&amp;DATE(Configuracion!$C$9,5,1),Ventas!$A$5:$A$204,"&lt;="&amp;EOMONTH(DATE(Configuracion!$C$9,5,1),0))*Configuracion!$C$11</f>
        <v>0</v>
      </c>
      <c r="D34" s="29" t="n">
        <f aca="false">COUNTIFS(Ventas!$A$5:$A$204,"&gt;="&amp;DATE(Configuracion!$C$9,5,1),Ventas!$A$5:$A$204,"&lt;="&amp;EOMONTH(DATE(Configuracion!$C$9,5,1),0))</f>
        <v>0</v>
      </c>
    </row>
    <row r="35" customFormat="false" ht="15" hidden="false" customHeight="false" outlineLevel="0" collapsed="false">
      <c r="B35" s="27" t="s">
        <v>106</v>
      </c>
      <c r="C35" s="28" t="n">
        <f aca="false">SUMIFS(Ventas!$F$5:$F$204,Ventas!$A$5:$A$204,"&gt;="&amp;DATE(Configuracion!$C$9,6,1),Ventas!$A$5:$A$204,"&lt;="&amp;EOMONTH(DATE(Configuracion!$C$9,6,1),0))*Configuracion!$C$11</f>
        <v>0</v>
      </c>
      <c r="D35" s="29" t="n">
        <f aca="false">COUNTIFS(Ventas!$A$5:$A$204,"&gt;="&amp;DATE(Configuracion!$C$9,6,1),Ventas!$A$5:$A$204,"&lt;="&amp;EOMONTH(DATE(Configuracion!$C$9,6,1),0))</f>
        <v>0</v>
      </c>
    </row>
    <row r="36" customFormat="false" ht="15" hidden="false" customHeight="false" outlineLevel="0" collapsed="false">
      <c r="B36" s="27" t="s">
        <v>107</v>
      </c>
      <c r="C36" s="28" t="n">
        <f aca="false">SUMIFS(Ventas!$F$5:$F$204,Ventas!$A$5:$A$204,"&gt;="&amp;DATE(Configuracion!$C$9,7,1),Ventas!$A$5:$A$204,"&lt;="&amp;EOMONTH(DATE(Configuracion!$C$9,7,1),0))*Configuracion!$C$11</f>
        <v>0</v>
      </c>
      <c r="D36" s="29" t="n">
        <f aca="false">COUNTIFS(Ventas!$A$5:$A$204,"&gt;="&amp;DATE(Configuracion!$C$9,7,1),Ventas!$A$5:$A$204,"&lt;="&amp;EOMONTH(DATE(Configuracion!$C$9,7,1),0))</f>
        <v>0</v>
      </c>
    </row>
    <row r="37" customFormat="false" ht="15" hidden="false" customHeight="false" outlineLevel="0" collapsed="false">
      <c r="B37" s="27" t="s">
        <v>108</v>
      </c>
      <c r="C37" s="28" t="n">
        <f aca="false">SUMIFS(Ventas!$F$5:$F$204,Ventas!$A$5:$A$204,"&gt;="&amp;DATE(Configuracion!$C$9,8,1),Ventas!$A$5:$A$204,"&lt;="&amp;EOMONTH(DATE(Configuracion!$C$9,8,1),0))*Configuracion!$C$11</f>
        <v>0</v>
      </c>
      <c r="D37" s="29" t="n">
        <f aca="false">COUNTIFS(Ventas!$A$5:$A$204,"&gt;="&amp;DATE(Configuracion!$C$9,8,1),Ventas!$A$5:$A$204,"&lt;="&amp;EOMONTH(DATE(Configuracion!$C$9,8,1),0))</f>
        <v>0</v>
      </c>
    </row>
    <row r="38" customFormat="false" ht="15" hidden="false" customHeight="false" outlineLevel="0" collapsed="false">
      <c r="B38" s="27" t="s">
        <v>109</v>
      </c>
      <c r="C38" s="28" t="n">
        <f aca="false">SUMIFS(Ventas!$F$5:$F$204,Ventas!$A$5:$A$204,"&gt;="&amp;DATE(Configuracion!$C$9,9,1),Ventas!$A$5:$A$204,"&lt;="&amp;EOMONTH(DATE(Configuracion!$C$9,9,1),0))*Configuracion!$C$11</f>
        <v>0</v>
      </c>
      <c r="D38" s="29" t="n">
        <f aca="false">COUNTIFS(Ventas!$A$5:$A$204,"&gt;="&amp;DATE(Configuracion!$C$9,9,1),Ventas!$A$5:$A$204,"&lt;="&amp;EOMONTH(DATE(Configuracion!$C$9,9,1),0))</f>
        <v>0</v>
      </c>
    </row>
    <row r="39" customFormat="false" ht="15" hidden="false" customHeight="false" outlineLevel="0" collapsed="false">
      <c r="B39" s="27" t="s">
        <v>110</v>
      </c>
      <c r="C39" s="28" t="n">
        <f aca="false">SUMIFS(Ventas!$F$5:$F$204,Ventas!$A$5:$A$204,"&gt;="&amp;DATE(Configuracion!$C$9,10,1),Ventas!$A$5:$A$204,"&lt;="&amp;EOMONTH(DATE(Configuracion!$C$9,10,1),0))*Configuracion!$C$11</f>
        <v>0</v>
      </c>
      <c r="D39" s="29" t="n">
        <f aca="false">COUNTIFS(Ventas!$A$5:$A$204,"&gt;="&amp;DATE(Configuracion!$C$9,10,1),Ventas!$A$5:$A$204,"&lt;="&amp;EOMONTH(DATE(Configuracion!$C$9,10,1),0))</f>
        <v>0</v>
      </c>
    </row>
    <row r="40" customFormat="false" ht="15" hidden="false" customHeight="false" outlineLevel="0" collapsed="false">
      <c r="B40" s="27" t="s">
        <v>111</v>
      </c>
      <c r="C40" s="28" t="n">
        <f aca="false">SUMIFS(Ventas!$F$5:$F$204,Ventas!$A$5:$A$204,"&gt;="&amp;DATE(Configuracion!$C$9,11,1),Ventas!$A$5:$A$204,"&lt;="&amp;EOMONTH(DATE(Configuracion!$C$9,11,1),0))*Configuracion!$C$11</f>
        <v>0</v>
      </c>
      <c r="D40" s="29" t="n">
        <f aca="false">COUNTIFS(Ventas!$A$5:$A$204,"&gt;="&amp;DATE(Configuracion!$C$9,11,1),Ventas!$A$5:$A$204,"&lt;="&amp;EOMONTH(DATE(Configuracion!$C$9,11,1),0))</f>
        <v>0</v>
      </c>
    </row>
    <row r="41" customFormat="false" ht="15" hidden="false" customHeight="false" outlineLevel="0" collapsed="false">
      <c r="B41" s="27" t="s">
        <v>112</v>
      </c>
      <c r="C41" s="28" t="n">
        <f aca="false">SUMIFS(Ventas!$F$5:$F$204,Ventas!$A$5:$A$204,"&gt;="&amp;DATE(Configuracion!$C$9,12,1),Ventas!$A$5:$A$204,"&lt;="&amp;EOMONTH(DATE(Configuracion!$C$9,12,1),0))*Configuracion!$C$11</f>
        <v>0</v>
      </c>
      <c r="D41" s="29" t="n">
        <f aca="false">COUNTIFS(Ventas!$A$5:$A$204,"&gt;="&amp;DATE(Configuracion!$C$9,12,1),Ventas!$A$5:$A$204,"&lt;="&amp;EOMONTH(DATE(Configuracion!$C$9,12,1),0))</f>
        <v>0</v>
      </c>
    </row>
    <row r="42" customFormat="false" ht="15" hidden="false" customHeight="false" outlineLevel="0" collapsed="false">
      <c r="B42" s="30" t="s">
        <v>113</v>
      </c>
      <c r="C42" s="31" t="n">
        <f aca="false">SUM(C30:C41)</f>
        <v>1253</v>
      </c>
      <c r="D42" s="32" t="n">
        <f aca="false">SUM(D30:D41)</f>
        <v>12</v>
      </c>
    </row>
    <row r="44" customFormat="false" ht="15" hidden="false" customHeight="false" outlineLevel="0" collapsed="false">
      <c r="B44" s="11" t="s">
        <v>114</v>
      </c>
      <c r="C44" s="28" t="n">
        <f aca="false">SUMIFS(Ventas!$F$5:$F$204,Ventas!$H$5:$H$204,"Pendiente")*Configuracion!$C$11</f>
        <v>455</v>
      </c>
    </row>
    <row r="45" customFormat="false" ht="15" hidden="false" customHeight="false" outlineLevel="0" collapsed="false">
      <c r="B45" s="11" t="s">
        <v>115</v>
      </c>
      <c r="C45" s="28" t="n">
        <f aca="false">IF(D42=0,0,C42/D42)</f>
        <v>104.416666666667</v>
      </c>
    </row>
    <row r="46" customFormat="false" ht="15" hidden="false" customHeight="false" outlineLevel="0" collapsed="false">
      <c r="B46" s="11" t="s">
        <v>116</v>
      </c>
      <c r="C46" s="29" t="str">
        <f aca="false">INDEX(B7:B14,MATCH(MAX(D7:D14),D7:D14,0))</f>
        <v>Paquete de mantenimiento mensual</v>
      </c>
    </row>
  </sheetData>
  <sheetProtection sheet="true" password="ee36" formatCells="false" formatColumns="false" formatRows="false" insertRows="false" selectLockedCells="true" selectUnlockedCells="true"/>
  <mergeCells count="5">
    <mergeCell ref="B2:D2"/>
    <mergeCell ref="B3:D3"/>
    <mergeCell ref="B5:D5"/>
    <mergeCell ref="B17:C17"/>
    <mergeCell ref="B28:D2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  <col collapsed="false" customWidth="true" hidden="false" outlineLevel="0" max="9" min="9" style="0" width="3"/>
  </cols>
  <sheetData>
    <row r="2" customFormat="false" ht="27.75" hidden="false" customHeight="true" outlineLevel="0" collapsed="false">
      <c r="B2" s="8" t="s">
        <v>117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7" t="str">
        <f aca="false">" Moneda: " &amp; Configuracion!$C$8 &amp; "   |   Año: " &amp; Configuracion!$C$9</f>
        <v> Moneda: Local   |   Año: 2026</v>
      </c>
      <c r="C3" s="7"/>
      <c r="D3" s="7"/>
      <c r="E3" s="7"/>
      <c r="F3" s="7"/>
      <c r="G3" s="7"/>
      <c r="H3" s="7"/>
    </row>
    <row r="5" customFormat="false" ht="18" hidden="false" customHeight="true" outlineLevel="0" collapsed="false">
      <c r="B5" s="33" t="s">
        <v>118</v>
      </c>
      <c r="C5" s="33"/>
      <c r="D5" s="34" t="s">
        <v>119</v>
      </c>
      <c r="E5" s="34"/>
      <c r="F5" s="35" t="s">
        <v>120</v>
      </c>
      <c r="G5" s="35"/>
      <c r="H5" s="36" t="s">
        <v>121</v>
      </c>
      <c r="I5" s="36"/>
    </row>
    <row r="6" customFormat="false" ht="21.75" hidden="false" customHeight="true" outlineLevel="0" collapsed="false">
      <c r="B6" s="37" t="str">
        <f aca="false">Configuracion!$C$12&amp;" "&amp;TEXT(Resumen!C42,"#,##0.00")</f>
        <v>S/ 1,253.00</v>
      </c>
      <c r="C6" s="37"/>
      <c r="D6" s="38" t="str">
        <f aca="false">Configuracion!$C$12&amp;" "&amp;TEXT(Resumen!C45,"#,##0.00")</f>
        <v>S/ 104.42</v>
      </c>
      <c r="E6" s="38"/>
      <c r="F6" s="39" t="str">
        <f aca="false">Configuracion!$C$12&amp;" "&amp;TEXT(Resumen!C44,"#,##0.00")</f>
        <v>S/ 455.00</v>
      </c>
      <c r="G6" s="39"/>
      <c r="H6" s="40" t="str">
        <f aca="false">Resumen!C46</f>
        <v>Paquete de mantenimiento mensual</v>
      </c>
      <c r="I6" s="40"/>
    </row>
    <row r="7" customFormat="false" ht="21.75" hidden="false" customHeight="true" outlineLevel="0" collapsed="false">
      <c r="B7" s="37"/>
      <c r="C7" s="37"/>
      <c r="D7" s="38"/>
      <c r="E7" s="38"/>
      <c r="F7" s="39"/>
      <c r="G7" s="39"/>
      <c r="H7" s="40"/>
      <c r="I7" s="40"/>
    </row>
  </sheetData>
  <sheetProtection sheet="true" password="ee36" formatCells="false" formatColumns="false" formatRows="false" insertRows="false" selectLockedCells="true" selectUnlockedCells="true"/>
  <mergeCells count="10">
    <mergeCell ref="B2:H2"/>
    <mergeCell ref="B3:H3"/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2026-09-18T05:34:20Z</dcterms:created>
  <dc:creator>openpyxl</dc:creator>
  <dc:description/>
  <dc:language>en-US</dc:language>
  <cp:lastModifiedBy/>
  <dcterms:modified xsi:type="dcterms:W3CDTF">2026-09-18T05:34:22Z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