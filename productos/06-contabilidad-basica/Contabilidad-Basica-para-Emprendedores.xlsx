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Portada" sheetId="1" state="visible" r:id="rId3"/>
    <sheet name="Instrucciones" sheetId="2" state="visible" r:id="rId4"/>
    <sheet name="Configuracion" sheetId="3" state="visible" r:id="rId5"/>
    <sheet name="Plan de Cuentas" sheetId="4" state="visible" r:id="rId6"/>
    <sheet name="Transacciones" sheetId="5" state="visible" r:id="rId7"/>
    <sheet name="Estado de Resultados" sheetId="6" state="visible" r:id="rId8"/>
    <sheet name="Dashboard" sheetId="7" state="visible" r:id="rId9"/>
  </sheets>
  <definedNames>
    <definedName function="false" hidden="false" name="FactorConversion" vbProcedure="false">Configuracion!$C$11</definedName>
    <definedName function="false" hidden="false" name="MonedaVisualizacion" vbProcedure="false">Configuracion!$C$8</definedName>
    <definedName function="false" hidden="false" name="TipoCambio" vbProcedure="false">Configuracion!$C$7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<sst xmlns="http://schemas.openxmlformats.org/spreadsheetml/2006/main" count="177" uniqueCount="136">
  <si>
    <t xml:space="preserve">LÍNEA DE PRODUCTOS DIGITALES · PLANTILLAS EXCEL</t>
  </si>
  <si>
    <t xml:space="preserve">CONTABILIDAD BÁSICA PARA EMPRENDEDORES</t>
  </si>
  <si>
    <t xml:space="preserve">Lleva el registro contable de tu negocio sin complicaciones: clasifica cada movimiento con tu plan de cuentas y obtén tu Estado de Resultados (ventas, costos, gastos y utilidad) mes a mes — con panel de control, gráficos automáticos y selector de moneda (local / USD).</t>
  </si>
  <si>
    <t xml:space="preserve">QUÉ INCLUYE ESTA PLANTILLA</t>
  </si>
  <si>
    <t xml:space="preserve">✔  Dashboard con indicadores clave (KPIs) y gráficos automáticos</t>
  </si>
  <si>
    <t xml:space="preserve">✔  Fórmulas automáticas: nada que calcular a mano</t>
  </si>
  <si>
    <t xml:space="preserve">✔  Estado de Resultados mensual y anual (ventas, costos, gastos, utilidad)</t>
  </si>
  <si>
    <t xml:space="preserve">✔  Plan de cuentas editable con clasificación por tipo</t>
  </si>
  <si>
    <t xml:space="preserve">✔  Gráficos: pastel (gastos por tipo), barras y evolución de la utilidad neta</t>
  </si>
  <si>
    <t xml:space="preserve">✔  Listas desplegables y validación de datos en cada registro</t>
  </si>
  <si>
    <t xml:space="preserve">✔  Selector de moneda: local o USD, con tipo de cambio editable</t>
  </si>
  <si>
    <t xml:space="preserve">✔  Hoja de instrucciones paso a paso</t>
  </si>
  <si>
    <t xml:space="preserve">✔  Celdas y fórmulas protegidas: solo editas donde debes</t>
  </si>
  <si>
    <t xml:space="preserve">✔  Diseño profesional y ejemplos precargados</t>
  </si>
  <si>
    <t xml:space="preserve">Producto digital · Precio orientativo: $14.99 USD  |  Licencia de uso comercial</t>
  </si>
  <si>
    <t xml:space="preserve">© Tu Marca de Plantillas · www.tumarca.com</t>
  </si>
  <si>
    <t xml:space="preserve">CÓMO USAR ESTA PLANTILLA</t>
  </si>
  <si>
    <t xml:space="preserve">1. Configuración</t>
  </si>
  <si>
    <t xml:space="preserve">Define el símbolo de tu moneda local, el tipo de cambio, el año de análisis y si la plantilla se muestra en moneda LOCAL o USD.</t>
  </si>
  <si>
    <t xml:space="preserve">2. Plan de Cuentas</t>
  </si>
  <si>
    <t xml:space="preserve">En 'Plan de Cuentas' revisa o edita las cuentas contables de tu negocio y su tipo (Ingreso, Costo de venta, Gasto operativo, Gasto administrativo, Gasto financiero o Impuesto).</t>
  </si>
  <si>
    <t xml:space="preserve">3. Transacciones</t>
  </si>
  <si>
    <t xml:space="preserve">En 'Transacciones' registra cada movimiento: fecha, cuenta (lista desplegable), descripción y monto. El tipo de cuenta se completa solo.</t>
  </si>
  <si>
    <t xml:space="preserve">4. Estado de Resultados</t>
  </si>
  <si>
    <t xml:space="preserve">La hoja 'Estado de Resultados' calcula automáticamente, mes a mes, tus ventas, costo de venta, utilidad bruta, gastos operativos y administrativos, utilidad operativa, gastos financieros, impuestos y utilidad neta — como un estado de resultados real.</t>
  </si>
  <si>
    <t xml:space="preserve">5. Dashboard</t>
  </si>
  <si>
    <t xml:space="preserve">La hoja 'Dashboard' muestra tus ventas, utilidad bruta, utilidad neta y margen neto del año, con gráficos que se actualizan solos.</t>
  </si>
  <si>
    <t xml:space="preserve">6. Cambiar de moneda</t>
  </si>
  <si>
    <t xml:space="preserve">Cambia 'Moneda de visualización' en 'Configuración' entre Local y USD: todo se recalcula automáticamente.</t>
  </si>
  <si>
    <t xml:space="preserve">7. Celdas protegidas</t>
  </si>
  <si>
    <t xml:space="preserve">Las hojas están protegidas para que no borres fórmulas por accidente. Solo puedes escribir en las celdas resaltadas en color crema / texto azul. Si necesitas editar otra celda, ve a Revisar → Desproteger hoja (no pide contraseña).</t>
  </si>
  <si>
    <t xml:space="preserve">Nota</t>
  </si>
  <si>
    <t xml:space="preserve">Esta plantilla es contabilidad básica de ingresos y gastos (Estado de Resultados), pensada para emprendedores y pequeños negocios. No reemplaza la contabilidad formal por partida doble ni el balance general; para eso consulta a un contador.</t>
  </si>
  <si>
    <t xml:space="preserve">Soporte y otras plantillas de esta línea de productos: www.tumarca.com</t>
  </si>
  <si>
    <t xml:space="preserve">CONFIGURACIÓN Y MONEDA</t>
  </si>
  <si>
    <t xml:space="preserve">Parámetro</t>
  </si>
  <si>
    <t xml:space="preserve">Valor</t>
  </si>
  <si>
    <t xml:space="preserve">Notas</t>
  </si>
  <si>
    <t xml:space="preserve">Nombre de moneda local</t>
  </si>
  <si>
    <t xml:space="preserve">Soles (PEN)</t>
  </si>
  <si>
    <t xml:space="preserve">Solo referencia. Escribe el nombre de tu moneda.</t>
  </si>
  <si>
    <t xml:space="preserve">Símbolo de moneda local</t>
  </si>
  <si>
    <t xml:space="preserve">S/</t>
  </si>
  <si>
    <t xml:space="preserve">Símbolo que se usará en el Dashboard cuando la vista esté en LOCAL.</t>
  </si>
  <si>
    <t xml:space="preserve">Tipo de cambio (1 USD =)</t>
  </si>
  <si>
    <t xml:space="preserve">Cuántas unidades de tu moneda local equivalen a 1 USD.</t>
  </si>
  <si>
    <t xml:space="preserve">Moneda de visualización</t>
  </si>
  <si>
    <t xml:space="preserve">Local</t>
  </si>
  <si>
    <t xml:space="preserve">Elige LOCAL o USD. Afecta Estado de Resultados y Dashboard.</t>
  </si>
  <si>
    <t xml:space="preserve">Año de análisis</t>
  </si>
  <si>
    <t xml:space="preserve">Año que se usa como referencia en el Estado de Resultados.</t>
  </si>
  <si>
    <t xml:space="preserve">Valores calculados (no editar)</t>
  </si>
  <si>
    <t xml:space="preserve">Factor de conversión aplicado</t>
  </si>
  <si>
    <t xml:space="preserve">Vale 1 si vista LOCAL; vale 1/Tipo de cambio si vista USD.</t>
  </si>
  <si>
    <t xml:space="preserve">Símbolo de moneda actual</t>
  </si>
  <si>
    <t xml:space="preserve">Símbolo que verás en el Dashboard según la moneda elegida.</t>
  </si>
  <si>
    <t xml:space="preserve">Cambia 'Moneda de visualización' entre Local y USD para recalcular automáticamente toda la plantilla.</t>
  </si>
  <si>
    <t xml:space="preserve">PLAN DE CUENTAS</t>
  </si>
  <si>
    <t xml:space="preserve">Código</t>
  </si>
  <si>
    <t xml:space="preserve">Cuenta</t>
  </si>
  <si>
    <t xml:space="preserve">Tipo</t>
  </si>
  <si>
    <t xml:space="preserve">4001</t>
  </si>
  <si>
    <t xml:space="preserve">Ventas de productos</t>
  </si>
  <si>
    <t xml:space="preserve">Ingreso</t>
  </si>
  <si>
    <t xml:space="preserve">4002</t>
  </si>
  <si>
    <t xml:space="preserve">Ventas de servicios</t>
  </si>
  <si>
    <t xml:space="preserve">5001</t>
  </si>
  <si>
    <t xml:space="preserve">Costo de mercadería vendida</t>
  </si>
  <si>
    <t xml:space="preserve">Costo de venta</t>
  </si>
  <si>
    <t xml:space="preserve">6001</t>
  </si>
  <si>
    <t xml:space="preserve">Sueldos y salarios</t>
  </si>
  <si>
    <t xml:space="preserve">Gasto operativo</t>
  </si>
  <si>
    <t xml:space="preserve">6002</t>
  </si>
  <si>
    <t xml:space="preserve">Alquiler de local</t>
  </si>
  <si>
    <t xml:space="preserve">6003</t>
  </si>
  <si>
    <t xml:space="preserve">Servicios (luz, agua, internet)</t>
  </si>
  <si>
    <t xml:space="preserve">6004</t>
  </si>
  <si>
    <t xml:space="preserve">Marketing y publicidad</t>
  </si>
  <si>
    <t xml:space="preserve">Gasto administrativo</t>
  </si>
  <si>
    <t xml:space="preserve">6005</t>
  </si>
  <si>
    <t xml:space="preserve">Útiles y suministros de oficina</t>
  </si>
  <si>
    <t xml:space="preserve">7001</t>
  </si>
  <si>
    <t xml:space="preserve">Intereses y comisiones bancarias</t>
  </si>
  <si>
    <t xml:space="preserve">Gasto financiero</t>
  </si>
  <si>
    <t xml:space="preserve">8001</t>
  </si>
  <si>
    <t xml:space="preserve">Impuesto a la renta</t>
  </si>
  <si>
    <t xml:space="preserve">Impuesto</t>
  </si>
  <si>
    <t xml:space="preserve">Puedes renombrar cuentas o agregar filas; el tipo determina en qué línea del Estado de Resultados aparece.</t>
  </si>
  <si>
    <t xml:space="preserve">REGISTRO DE TRANSACCIONES</t>
  </si>
  <si>
    <t xml:space="preserve">Completa las columnas A a D para cada movimiento. La columna E (tipo) se calcula automáticamente.</t>
  </si>
  <si>
    <t xml:space="preserve">Fecha</t>
  </si>
  <si>
    <t xml:space="preserve">Descripción</t>
  </si>
  <si>
    <t xml:space="preserve">Monto</t>
  </si>
  <si>
    <t xml:space="preserve">Tipo de cuenta</t>
  </si>
  <si>
    <t xml:space="preserve">Ventas de la semana</t>
  </si>
  <si>
    <t xml:space="preserve">Costo de productos vendidos</t>
  </si>
  <si>
    <t xml:space="preserve">Planilla de enero</t>
  </si>
  <si>
    <t xml:space="preserve">Alquiler de enero</t>
  </si>
  <si>
    <t xml:space="preserve">Campaña en redes sociales</t>
  </si>
  <si>
    <t xml:space="preserve">Recibos del mes</t>
  </si>
  <si>
    <t xml:space="preserve">Comisiones bancarias</t>
  </si>
  <si>
    <t xml:space="preserve">Servicio de instalación</t>
  </si>
  <si>
    <t xml:space="preserve">Planilla de febrero</t>
  </si>
  <si>
    <t xml:space="preserve">Alquiler de febrero</t>
  </si>
  <si>
    <t xml:space="preserve">Papelería</t>
  </si>
  <si>
    <t xml:space="preserve">Pago a cuenta mensual</t>
  </si>
  <si>
    <t xml:space="preserve">Planilla de marzo</t>
  </si>
  <si>
    <t xml:space="preserve">Alquiler de marzo</t>
  </si>
  <si>
    <t xml:space="preserve">ESTADO DE RESULTADOS</t>
  </si>
  <si>
    <t xml:space="preserve">Concepto</t>
  </si>
  <si>
    <t xml:space="preserve">Ene</t>
  </si>
  <si>
    <t xml:space="preserve">Feb</t>
  </si>
  <si>
    <t xml:space="preserve">Mar</t>
  </si>
  <si>
    <t xml:space="preserve">Abr</t>
  </si>
  <si>
    <t xml:space="preserve">May</t>
  </si>
  <si>
    <t xml:space="preserve">Jun</t>
  </si>
  <si>
    <t xml:space="preserve">Jul</t>
  </si>
  <si>
    <t xml:space="preserve">Ago</t>
  </si>
  <si>
    <t xml:space="preserve">Sep</t>
  </si>
  <si>
    <t xml:space="preserve">Oct</t>
  </si>
  <si>
    <t xml:space="preserve">Nov</t>
  </si>
  <si>
    <t xml:space="preserve">Dic</t>
  </si>
  <si>
    <t xml:space="preserve">Total anual</t>
  </si>
  <si>
    <t xml:space="preserve">VENTAS</t>
  </si>
  <si>
    <t xml:space="preserve">UTILIDAD BRUTA</t>
  </si>
  <si>
    <t xml:space="preserve">Gastos operativos</t>
  </si>
  <si>
    <t xml:space="preserve">Gastos administrativos</t>
  </si>
  <si>
    <t xml:space="preserve">UTILIDAD OPERATIVA</t>
  </si>
  <si>
    <t xml:space="preserve">Gastos financieros</t>
  </si>
  <si>
    <t xml:space="preserve">Impuestos</t>
  </si>
  <si>
    <t xml:space="preserve">UTILIDAD NETA</t>
  </si>
  <si>
    <t xml:space="preserve">Margen bruto (%)</t>
  </si>
  <si>
    <t xml:space="preserve">Margen neto (%)</t>
  </si>
  <si>
    <t xml:space="preserve">DASHBOARD · CONTABILIDAD BÁSICA</t>
  </si>
  <si>
    <t xml:space="preserve">VENTAS DEL AÑO</t>
  </si>
  <si>
    <t xml:space="preserve">MARGEN NETO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</si>
</sst>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0"/>
    <numFmt numFmtId="166" formatCode="dd/mm/yyyy"/>
    <numFmt numFmtId="167" formatCode="#,##0.00"/>
    <numFmt numFmtId="168" formatCode="#,##0"/>
    <numFmt numFmtId="169" formatCode="0.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2CA58D"/>
      <name val="Arial"/>
      <family val="0"/>
      <charset val="1"/>
    </font>
    <font>
      <b val="true"/>
      <sz val="26"/>
      <color rgb="FF1F3B57"/>
      <name val="Arial"/>
      <family val="0"/>
      <charset val="1"/>
    </font>
    <font>
      <sz val="11"/>
      <color rgb="FF1A1A1A"/>
      <name val="Arial"/>
      <family val="0"/>
      <charset val="1"/>
    </font>
    <font>
      <b val="true"/>
      <sz val="11"/>
      <color rgb="FF1F3B57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C9A24B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6"/>
      <color rgb="FF1F3B57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2F4F6"/>
        <bgColor rgb="FFF9F9F9"/>
      </patternFill>
    </fill>
    <fill>
      <patternFill patternType="solid">
        <fgColor rgb="FF1F3B57"/>
        <bgColor rgb="FF003366"/>
      </patternFill>
    </fill>
    <fill>
      <patternFill patternType="solid">
        <fgColor rgb="FFFFF6D9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E4E9EF"/>
        <bgColor rgb="FFD9DEE3"/>
      </patternFill>
    </fill>
    <fill>
      <patternFill patternType="solid">
        <fgColor rgb="FF2CA58D"/>
        <bgColor rgb="FF33CCCC"/>
      </patternFill>
    </fill>
    <fill>
      <patternFill patternType="solid">
        <fgColor rgb="FFC9A24B"/>
        <bgColor rgb="FFFF9900"/>
      </patternFill>
    </fill>
    <fill>
      <patternFill patternType="solid">
        <fgColor rgb="FFB23B3B"/>
        <bgColor rgb="FFC0504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EE3"/>
      </left>
      <right style="thin">
        <color rgb="FFD9DEE3"/>
      </right>
      <top style="thin">
        <color rgb="FFD9DEE3"/>
      </top>
      <bottom style="thin">
        <color rgb="FFD9DE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4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6" fontId="14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14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23B3B"/>
      <rgbColor rgb="FFFFF6D9"/>
      <rgbColor rgb="FFE4E9E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4F6"/>
      <rgbColor rgb="FFD9DEE3"/>
      <rgbColor rgb="FFF9F9F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C9A24B"/>
      <rgbColor rgb="FF003366"/>
      <rgbColor rgb="FF2CA58D"/>
      <rgbColor rgb="FF003300"/>
      <rgbColor rgb="FF1A1A1A"/>
      <rgbColor rgb="FF993300"/>
      <rgbColor rgb="FFC0504D"/>
      <rgbColor rgb="FF555555"/>
      <rgbColor rgb="FF1F3B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Gastos por tipo (año)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Ventas vs. utilidad neta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"Ventas"</c:f>
              <c:strCache>
                <c:ptCount val="1"/>
                <c:pt idx="0">
                  <c:v>Ventas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'Estado de Resultados'!$B$5:$M$5</c:f>
              <c:multiLvlStrCache>
                <c:ptCount val="1"/>
                <c:lvl>
                  <c:pt idx="0">
                    <c:v>Dic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Ago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Abr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Ene</c:v>
                  </c:pt>
                </c:lvl>
              </c:multiLvlStrCache>
            </c:multiLvlStrRef>
          </c:cat>
          <c:val>
            <c:numRef>
              <c:f>'Estado de Resultados'!$B$6:$M$6</c:f>
              <c:numCache>
                <c:formatCode>#,##0</c:formatCode>
                <c:ptCount val="12"/>
                <c:pt idx="0">
                  <c:v>4200</c:v>
                </c:pt>
                <c:pt idx="1">
                  <c:v>5100</c:v>
                </c:pt>
                <c:pt idx="2">
                  <c:v>4800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"Utilidad neta"</c:f>
              <c:strCache>
                <c:ptCount val="1"/>
                <c:pt idx="0">
                  <c:v>Utilidad neta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'Estado de Resultados'!$B$5:$M$5</c:f>
              <c:multiLvlStrCache>
                <c:ptCount val="1"/>
                <c:lvl>
                  <c:pt idx="0">
                    <c:v>Dic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Ago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Abr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Ene</c:v>
                  </c:pt>
                </c:lvl>
              </c:multiLvlStrCache>
            </c:multiLvlStrRef>
          </c:cat>
          <c:val>
            <c:numRef>
              <c:f>'Estado de Resultados'!$B$14:$M$14</c:f>
              <c:numCache>
                <c:formatCode>#,##0</c:formatCode>
                <c:ptCount val="12"/>
                <c:pt idx="0">
                  <c:v>-70</c:v>
                </c:pt>
                <c:pt idx="1">
                  <c:v>840</c:v>
                </c:pt>
                <c:pt idx="2">
                  <c:v>180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62125264"/>
        <c:axId val="32056575"/>
      </c:barChart>
      <c:catAx>
        <c:axId val="62125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056575"/>
        <c:crosses val="autoZero"/>
        <c:auto val="1"/>
        <c:lblAlgn val="ctr"/>
        <c:lblOffset val="100"/>
        <c:noMultiLvlLbl val="0"/>
      </c:catAx>
      <c:valAx>
        <c:axId val="320565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12526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Evolución de la utilidad neta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"Utilidad neta"</c:f>
              <c:strCache>
                <c:ptCount val="1"/>
                <c:pt idx="0">
                  <c:v>Utilidad neta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'Estado de Resultados'!$B$5:$M$5</c:f>
              <c:multiLvlStrCache>
                <c:ptCount val="1"/>
                <c:lvl>
                  <c:pt idx="0">
                    <c:v>Dic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Ago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Abr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Ene</c:v>
                  </c:pt>
                </c:lvl>
              </c:multiLvlStrCache>
            </c:multiLvlStrRef>
          </c:cat>
          <c:val>
            <c:numRef>
              <c:f>'Estado de Resultados'!$B$14:$M$14</c:f>
              <c:numCache>
                <c:formatCode>#,##0</c:formatCode>
                <c:ptCount val="12"/>
                <c:pt idx="0">
                  <c:v>-70</c:v>
                </c:pt>
                <c:pt idx="1">
                  <c:v>840</c:v>
                </c:pt>
                <c:pt idx="2">
                  <c:v>180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7207572"/>
        <c:axId val="83069746"/>
      </c:lineChart>
      <c:catAx>
        <c:axId val="372075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069746"/>
        <c:crosses val="autoZero"/>
        <c:auto val="1"/>
        <c:lblAlgn val="ctr"/>
        <c:lblOffset val="100"/>
        <c:noMultiLvlLbl val="0"/>
      </c:catAx>
      <c:valAx>
        <c:axId val="830697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20757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8</xdr:row>
      <xdr:rowOff>0</xdr:rowOff>
    </xdr:from>
    <xdr:to>
      <xdr:col>4</xdr:col>
      <xdr:colOff>1132560</xdr:colOff>
      <xdr:row>25</xdr:row>
      <xdr:rowOff>1080</xdr:rowOff>
    </xdr:to>
    <xdr:graphicFrame>
      <xdr:nvGraphicFramePr>
        <xdr:cNvPr id="0" name="Chart 1"/>
        <xdr:cNvGraphicFramePr/>
      </xdr:nvGraphicFramePr>
      <xdr:xfrm>
        <a:off x="266760" y="189540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8</xdr:row>
      <xdr:rowOff>0</xdr:rowOff>
    </xdr:from>
    <xdr:to>
      <xdr:col>7</xdr:col>
      <xdr:colOff>1132200</xdr:colOff>
      <xdr:row>25</xdr:row>
      <xdr:rowOff>1080</xdr:rowOff>
    </xdr:to>
    <xdr:graphicFrame>
      <xdr:nvGraphicFramePr>
        <xdr:cNvPr id="1" name="Chart 2"/>
        <xdr:cNvGraphicFramePr/>
      </xdr:nvGraphicFramePr>
      <xdr:xfrm>
        <a:off x="4533840" y="189540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27</xdr:row>
      <xdr:rowOff>0</xdr:rowOff>
    </xdr:from>
    <xdr:to>
      <xdr:col>9</xdr:col>
      <xdr:colOff>576360</xdr:colOff>
      <xdr:row>44</xdr:row>
      <xdr:rowOff>1080</xdr:rowOff>
    </xdr:to>
    <xdr:graphicFrame>
      <xdr:nvGraphicFramePr>
        <xdr:cNvPr id="2" name="Chart 3"/>
        <xdr:cNvGraphicFramePr/>
      </xdr:nvGraphicFramePr>
      <xdr:xfrm>
        <a:off x="266760" y="5514840"/>
        <a:ext cx="107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6" min="2" style="0" width="22"/>
    <col collapsed="false" customWidth="true" hidden="false" outlineLevel="0" max="7" min="7" style="0" width="4"/>
  </cols>
  <sheetData>
    <row r="2" customFormat="false" ht="19.5" hidden="false" customHeight="true" outlineLevel="0" collapsed="false">
      <c r="B2" s="1" t="s">
        <v>0</v>
      </c>
      <c r="C2" s="1"/>
      <c r="D2" s="1"/>
      <c r="E2" s="1"/>
      <c r="F2" s="1"/>
    </row>
    <row r="3" customFormat="false" ht="19.5" hidden="false" customHeight="true" outlineLevel="0" collapsed="false"/>
    <row r="4" customFormat="false" ht="30" hidden="false" customHeight="true" outlineLevel="0" collapsed="false">
      <c r="B4" s="2" t="s">
        <v>1</v>
      </c>
      <c r="C4" s="2"/>
      <c r="D4" s="2"/>
      <c r="E4" s="2"/>
      <c r="F4" s="2"/>
    </row>
    <row r="5" customFormat="false" ht="19.5" hidden="false" customHeight="true" outlineLevel="0" collapsed="false">
      <c r="B5" s="2"/>
      <c r="C5" s="2"/>
      <c r="D5" s="2"/>
      <c r="E5" s="2"/>
      <c r="F5" s="2"/>
    </row>
    <row r="6" customFormat="false" ht="19.5" hidden="false" customHeight="true" outlineLevel="0" collapsed="false">
      <c r="B6" s="2"/>
      <c r="C6" s="2"/>
      <c r="D6" s="2"/>
      <c r="E6" s="2"/>
      <c r="F6" s="2"/>
    </row>
    <row r="7" customFormat="false" ht="19.5" hidden="false" customHeight="true" outlineLevel="0" collapsed="false">
      <c r="B7" s="3" t="s">
        <v>2</v>
      </c>
      <c r="C7" s="3"/>
      <c r="D7" s="3"/>
      <c r="E7" s="3"/>
      <c r="F7" s="3"/>
    </row>
    <row r="8" customFormat="false" ht="19.5" hidden="false" customHeight="true" outlineLevel="0" collapsed="false">
      <c r="B8" s="3"/>
      <c r="C8" s="3"/>
      <c r="D8" s="3"/>
      <c r="E8" s="3"/>
      <c r="F8" s="3"/>
    </row>
    <row r="10" customFormat="false" ht="19.5" hidden="false" customHeight="true" outlineLevel="0" collapsed="false">
      <c r="B10" s="4" t="s">
        <v>3</v>
      </c>
      <c r="C10" s="4"/>
      <c r="D10" s="4"/>
      <c r="E10" s="4"/>
      <c r="F10" s="4"/>
    </row>
    <row r="11" customFormat="false" ht="18" hidden="false" customHeight="true" outlineLevel="0" collapsed="false">
      <c r="B11" s="5" t="s">
        <v>4</v>
      </c>
      <c r="C11" s="5"/>
      <c r="D11" s="5"/>
      <c r="E11" s="5"/>
      <c r="F11" s="5"/>
    </row>
    <row r="12" customFormat="false" ht="18" hidden="false" customHeight="true" outlineLevel="0" collapsed="false">
      <c r="B12" s="5" t="s">
        <v>5</v>
      </c>
      <c r="C12" s="5"/>
      <c r="D12" s="5"/>
      <c r="E12" s="5"/>
      <c r="F12" s="5"/>
    </row>
    <row r="13" customFormat="false" ht="18" hidden="false" customHeight="true" outlineLevel="0" collapsed="false">
      <c r="B13" s="5" t="s">
        <v>6</v>
      </c>
      <c r="C13" s="5"/>
      <c r="D13" s="5"/>
      <c r="E13" s="5"/>
      <c r="F13" s="5"/>
    </row>
    <row r="14" customFormat="false" ht="18" hidden="false" customHeight="true" outlineLevel="0" collapsed="false">
      <c r="B14" s="5" t="s">
        <v>7</v>
      </c>
      <c r="C14" s="5"/>
      <c r="D14" s="5"/>
      <c r="E14" s="5"/>
      <c r="F14" s="5"/>
    </row>
    <row r="15" customFormat="false" ht="18" hidden="false" customHeight="true" outlineLevel="0" collapsed="false">
      <c r="B15" s="5" t="s">
        <v>8</v>
      </c>
      <c r="C15" s="5"/>
      <c r="D15" s="5"/>
      <c r="E15" s="5"/>
      <c r="F15" s="5"/>
    </row>
    <row r="16" customFormat="false" ht="18" hidden="false" customHeight="true" outlineLevel="0" collapsed="false">
      <c r="B16" s="5" t="s">
        <v>9</v>
      </c>
      <c r="C16" s="5"/>
      <c r="D16" s="5"/>
      <c r="E16" s="5"/>
      <c r="F16" s="5"/>
    </row>
    <row r="17" customFormat="false" ht="18" hidden="false" customHeight="true" outlineLevel="0" collapsed="false">
      <c r="B17" s="5" t="s">
        <v>10</v>
      </c>
      <c r="C17" s="5"/>
      <c r="D17" s="5"/>
      <c r="E17" s="5"/>
      <c r="F17" s="5"/>
    </row>
    <row r="18" customFormat="false" ht="18" hidden="false" customHeight="true" outlineLevel="0" collapsed="false">
      <c r="B18" s="5" t="s">
        <v>11</v>
      </c>
      <c r="C18" s="5"/>
      <c r="D18" s="5"/>
      <c r="E18" s="5"/>
      <c r="F18" s="5"/>
    </row>
    <row r="19" customFormat="false" ht="18" hidden="false" customHeight="true" outlineLevel="0" collapsed="false">
      <c r="B19" s="5" t="s">
        <v>12</v>
      </c>
      <c r="C19" s="5"/>
      <c r="D19" s="5"/>
      <c r="E19" s="5"/>
      <c r="F19" s="5"/>
    </row>
    <row r="20" customFormat="false" ht="18" hidden="false" customHeight="true" outlineLevel="0" collapsed="false">
      <c r="B20" s="5" t="s">
        <v>13</v>
      </c>
      <c r="C20" s="5"/>
      <c r="D20" s="5"/>
      <c r="E20" s="5"/>
      <c r="F20" s="5"/>
    </row>
    <row r="22" customFormat="false" ht="15" hidden="false" customHeight="false" outlineLevel="0" collapsed="false">
      <c r="B22" s="6" t="s">
        <v>14</v>
      </c>
      <c r="C22" s="6"/>
      <c r="D22" s="6"/>
      <c r="E22" s="6"/>
      <c r="F22" s="6"/>
    </row>
    <row r="24" customFormat="false" ht="15" hidden="false" customHeight="false" outlineLevel="0" collapsed="false">
      <c r="B24" s="7" t="s">
        <v>15</v>
      </c>
      <c r="C24" s="7"/>
      <c r="D24" s="7"/>
      <c r="E24" s="7"/>
      <c r="F24" s="7"/>
    </row>
  </sheetData>
  <sheetProtection sheet="true" formatCells="false" formatColumns="false" formatRows="false" insertRows="false" selectLockedCells="true" selectUnlockedCells="true"/>
  <mergeCells count="16">
    <mergeCell ref="B2:F2"/>
    <mergeCell ref="B4:F6"/>
    <mergeCell ref="B7:F8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  <mergeCell ref="B20:F20"/>
    <mergeCell ref="B22:F22"/>
    <mergeCell ref="B24:F24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46"/>
    <col collapsed="false" customWidth="true" hidden="false" outlineLevel="0" max="4" min="4" style="0" width="3"/>
  </cols>
  <sheetData>
    <row r="2" customFormat="false" ht="25.5" hidden="false" customHeight="true" outlineLevel="0" collapsed="false">
      <c r="B2" s="8" t="s">
        <v>16</v>
      </c>
      <c r="C2" s="8"/>
    </row>
    <row r="4" customFormat="false" ht="18" hidden="false" customHeight="true" outlineLevel="0" collapsed="false">
      <c r="B4" s="4" t="s">
        <v>17</v>
      </c>
      <c r="C4" s="4"/>
    </row>
    <row r="5" customFormat="false" ht="42" hidden="false" customHeight="true" outlineLevel="0" collapsed="false">
      <c r="B5" s="9" t="s">
        <v>18</v>
      </c>
      <c r="C5" s="9"/>
    </row>
    <row r="7" customFormat="false" ht="18" hidden="false" customHeight="true" outlineLevel="0" collapsed="false">
      <c r="B7" s="4" t="s">
        <v>19</v>
      </c>
      <c r="C7" s="4"/>
    </row>
    <row r="8" customFormat="false" ht="42" hidden="false" customHeight="true" outlineLevel="0" collapsed="false">
      <c r="B8" s="9" t="s">
        <v>20</v>
      </c>
      <c r="C8" s="9"/>
    </row>
    <row r="10" customFormat="false" ht="18" hidden="false" customHeight="true" outlineLevel="0" collapsed="false">
      <c r="B10" s="4" t="s">
        <v>21</v>
      </c>
      <c r="C10" s="4"/>
    </row>
    <row r="11" customFormat="false" ht="42" hidden="false" customHeight="true" outlineLevel="0" collapsed="false">
      <c r="B11" s="9" t="s">
        <v>22</v>
      </c>
      <c r="C11" s="9"/>
    </row>
    <row r="13" customFormat="false" ht="18" hidden="false" customHeight="true" outlineLevel="0" collapsed="false">
      <c r="B13" s="4" t="s">
        <v>23</v>
      </c>
      <c r="C13" s="4"/>
    </row>
    <row r="14" customFormat="false" ht="42" hidden="false" customHeight="true" outlineLevel="0" collapsed="false">
      <c r="B14" s="9" t="s">
        <v>24</v>
      </c>
      <c r="C14" s="9"/>
    </row>
    <row r="16" customFormat="false" ht="18" hidden="false" customHeight="true" outlineLevel="0" collapsed="false">
      <c r="B16" s="4" t="s">
        <v>25</v>
      </c>
      <c r="C16" s="4"/>
    </row>
    <row r="17" customFormat="false" ht="42" hidden="false" customHeight="true" outlineLevel="0" collapsed="false">
      <c r="B17" s="9" t="s">
        <v>26</v>
      </c>
      <c r="C17" s="9"/>
    </row>
    <row r="19" customFormat="false" ht="18" hidden="false" customHeight="true" outlineLevel="0" collapsed="false">
      <c r="B19" s="4" t="s">
        <v>27</v>
      </c>
      <c r="C19" s="4"/>
    </row>
    <row r="20" customFormat="false" ht="42" hidden="false" customHeight="true" outlineLevel="0" collapsed="false">
      <c r="B20" s="9" t="s">
        <v>28</v>
      </c>
      <c r="C20" s="9"/>
    </row>
    <row r="22" customFormat="false" ht="18" hidden="false" customHeight="true" outlineLevel="0" collapsed="false">
      <c r="B22" s="4" t="s">
        <v>29</v>
      </c>
      <c r="C22" s="4"/>
    </row>
    <row r="23" customFormat="false" ht="42" hidden="false" customHeight="true" outlineLevel="0" collapsed="false">
      <c r="B23" s="9" t="s">
        <v>30</v>
      </c>
      <c r="C23" s="9"/>
    </row>
    <row r="25" customFormat="false" ht="18" hidden="false" customHeight="true" outlineLevel="0" collapsed="false">
      <c r="B25" s="4" t="s">
        <v>31</v>
      </c>
      <c r="C25" s="4"/>
    </row>
    <row r="26" customFormat="false" ht="42" hidden="false" customHeight="true" outlineLevel="0" collapsed="false">
      <c r="B26" s="9" t="s">
        <v>32</v>
      </c>
      <c r="C26" s="9"/>
    </row>
    <row r="28" customFormat="false" ht="15" hidden="false" customHeight="false" outlineLevel="0" collapsed="false">
      <c r="B28" s="7" t="s">
        <v>33</v>
      </c>
      <c r="C28" s="7"/>
    </row>
  </sheetData>
  <sheetProtection sheet="true" formatCells="false" formatColumns="false" formatRows="false" insertRows="false" selectLockedCells="true" selectUnlockedCells="true"/>
  <mergeCells count="18">
    <mergeCell ref="B2:C2"/>
    <mergeCell ref="B4:C4"/>
    <mergeCell ref="B5:C5"/>
    <mergeCell ref="B7:C7"/>
    <mergeCell ref="B8:C8"/>
    <mergeCell ref="B10:C10"/>
    <mergeCell ref="B11:C11"/>
    <mergeCell ref="B13:C13"/>
    <mergeCell ref="B14:C14"/>
    <mergeCell ref="B16:C16"/>
    <mergeCell ref="B17:C17"/>
    <mergeCell ref="B19:C19"/>
    <mergeCell ref="B20:C20"/>
    <mergeCell ref="B22:C22"/>
    <mergeCell ref="B23:C23"/>
    <mergeCell ref="B25:C25"/>
    <mergeCell ref="B26:C26"/>
    <mergeCell ref="B28:C28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20"/>
    <col collapsed="false" customWidth="true" hidden="false" outlineLevel="0" max="4" min="4" style="0" width="40"/>
    <col collapsed="false" customWidth="true" hidden="false" outlineLevel="0" max="5" min="5" style="0" width="3"/>
  </cols>
  <sheetData>
    <row r="2" customFormat="false" ht="25.5" hidden="false" customHeight="true" outlineLevel="0" collapsed="false">
      <c r="B2" s="8" t="s">
        <v>34</v>
      </c>
      <c r="C2" s="8"/>
      <c r="D2" s="8"/>
    </row>
    <row r="4" customFormat="false" ht="21.75" hidden="false" customHeight="true" outlineLevel="0" collapsed="false">
      <c r="B4" s="10" t="s">
        <v>35</v>
      </c>
      <c r="C4" s="10" t="s">
        <v>36</v>
      </c>
      <c r="D4" s="10" t="s">
        <v>37</v>
      </c>
    </row>
    <row r="5" customFormat="false" ht="18" hidden="false" customHeight="true" outlineLevel="0" collapsed="false">
      <c r="B5" s="11" t="s">
        <v>38</v>
      </c>
      <c r="C5" s="12" t="s">
        <v>39</v>
      </c>
      <c r="D5" s="13" t="s">
        <v>40</v>
      </c>
    </row>
    <row r="6" customFormat="false" ht="18" hidden="false" customHeight="true" outlineLevel="0" collapsed="false">
      <c r="B6" s="11" t="s">
        <v>41</v>
      </c>
      <c r="C6" s="12" t="s">
        <v>42</v>
      </c>
      <c r="D6" s="13" t="s">
        <v>43</v>
      </c>
    </row>
    <row r="7" customFormat="false" ht="18" hidden="false" customHeight="true" outlineLevel="0" collapsed="false">
      <c r="B7" s="11" t="s">
        <v>44</v>
      </c>
      <c r="C7" s="12" t="n">
        <v>3.75</v>
      </c>
      <c r="D7" s="13" t="s">
        <v>45</v>
      </c>
    </row>
    <row r="8" customFormat="false" ht="18" hidden="false" customHeight="true" outlineLevel="0" collapsed="false">
      <c r="B8" s="11" t="s">
        <v>46</v>
      </c>
      <c r="C8" s="12" t="s">
        <v>47</v>
      </c>
      <c r="D8" s="13" t="s">
        <v>48</v>
      </c>
    </row>
    <row r="9" customFormat="false" ht="18" hidden="false" customHeight="true" outlineLevel="0" collapsed="false">
      <c r="B9" s="11" t="s">
        <v>49</v>
      </c>
      <c r="C9" s="12" t="n">
        <v>2026</v>
      </c>
      <c r="D9" s="13" t="s">
        <v>50</v>
      </c>
    </row>
    <row r="10" customFormat="false" ht="18" hidden="false" customHeight="true" outlineLevel="0" collapsed="false">
      <c r="B10" s="14" t="s">
        <v>51</v>
      </c>
      <c r="C10" s="15"/>
      <c r="D10" s="15"/>
    </row>
    <row r="11" customFormat="false" ht="18" hidden="false" customHeight="true" outlineLevel="0" collapsed="false">
      <c r="B11" s="16" t="s">
        <v>52</v>
      </c>
      <c r="C11" s="17" t="n">
        <f aca="false">IF(C8="USD",1/C7,1)</f>
        <v>1</v>
      </c>
      <c r="D11" s="18" t="s">
        <v>53</v>
      </c>
    </row>
    <row r="12" customFormat="false" ht="18" hidden="false" customHeight="true" outlineLevel="0" collapsed="false">
      <c r="B12" s="16" t="s">
        <v>54</v>
      </c>
      <c r="C12" s="19" t="str">
        <f aca="false">IF(C8="USD","US$",C6)</f>
        <v>S/</v>
      </c>
      <c r="D12" s="18" t="s">
        <v>55</v>
      </c>
    </row>
    <row r="14" customFormat="false" ht="15" hidden="false" customHeight="true" outlineLevel="0" collapsed="false">
      <c r="B14" s="20" t="s">
        <v>56</v>
      </c>
      <c r="C14" s="20"/>
      <c r="D14" s="20"/>
    </row>
  </sheetData>
  <sheetProtection sheet="true" formatCells="false" formatColumns="false" formatRows="false" insertRows="false" selectLockedCells="true" selectUnlockedCells="true"/>
  <mergeCells count="2">
    <mergeCell ref="B2:D2"/>
    <mergeCell ref="B14:D14"/>
  </mergeCells>
  <dataValidations count="1">
    <dataValidation allowBlank="false" errorStyle="stop" operator="between" showDropDown="false" showErrorMessage="false" showInputMessage="false" sqref="C8" type="list">
      <formula1>"Local,USD"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3"/>
  </cols>
  <sheetData>
    <row r="2" customFormat="false" ht="25.5" hidden="false" customHeight="true" outlineLevel="0" collapsed="false">
      <c r="A2" s="8" t="s">
        <v>57</v>
      </c>
      <c r="B2" s="8"/>
      <c r="C2" s="8"/>
    </row>
    <row r="4" customFormat="false" ht="19.5" hidden="false" customHeight="true" outlineLevel="0" collapsed="false">
      <c r="A4" s="10" t="s">
        <v>58</v>
      </c>
      <c r="B4" s="10" t="s">
        <v>59</v>
      </c>
      <c r="C4" s="10" t="s">
        <v>60</v>
      </c>
    </row>
    <row r="5" customFormat="false" ht="15" hidden="false" customHeight="false" outlineLevel="0" collapsed="false">
      <c r="A5" s="12" t="s">
        <v>61</v>
      </c>
      <c r="B5" s="21" t="s">
        <v>62</v>
      </c>
      <c r="C5" s="21" t="s">
        <v>63</v>
      </c>
    </row>
    <row r="6" customFormat="false" ht="15" hidden="false" customHeight="false" outlineLevel="0" collapsed="false">
      <c r="A6" s="12" t="s">
        <v>64</v>
      </c>
      <c r="B6" s="21" t="s">
        <v>65</v>
      </c>
      <c r="C6" s="21" t="s">
        <v>63</v>
      </c>
    </row>
    <row r="7" customFormat="false" ht="15" hidden="false" customHeight="false" outlineLevel="0" collapsed="false">
      <c r="A7" s="12" t="s">
        <v>66</v>
      </c>
      <c r="B7" s="21" t="s">
        <v>67</v>
      </c>
      <c r="C7" s="21" t="s">
        <v>68</v>
      </c>
    </row>
    <row r="8" customFormat="false" ht="15" hidden="false" customHeight="false" outlineLevel="0" collapsed="false">
      <c r="A8" s="12" t="s">
        <v>69</v>
      </c>
      <c r="B8" s="21" t="s">
        <v>70</v>
      </c>
      <c r="C8" s="21" t="s">
        <v>71</v>
      </c>
    </row>
    <row r="9" customFormat="false" ht="15" hidden="false" customHeight="false" outlineLevel="0" collapsed="false">
      <c r="A9" s="12" t="s">
        <v>72</v>
      </c>
      <c r="B9" s="21" t="s">
        <v>73</v>
      </c>
      <c r="C9" s="21" t="s">
        <v>71</v>
      </c>
    </row>
    <row r="10" customFormat="false" ht="15" hidden="false" customHeight="false" outlineLevel="0" collapsed="false">
      <c r="A10" s="12" t="s">
        <v>74</v>
      </c>
      <c r="B10" s="21" t="s">
        <v>75</v>
      </c>
      <c r="C10" s="21" t="s">
        <v>71</v>
      </c>
    </row>
    <row r="11" customFormat="false" ht="15" hidden="false" customHeight="false" outlineLevel="0" collapsed="false">
      <c r="A11" s="12" t="s">
        <v>76</v>
      </c>
      <c r="B11" s="21" t="s">
        <v>77</v>
      </c>
      <c r="C11" s="21" t="s">
        <v>78</v>
      </c>
    </row>
    <row r="12" customFormat="false" ht="15" hidden="false" customHeight="false" outlineLevel="0" collapsed="false">
      <c r="A12" s="12" t="s">
        <v>79</v>
      </c>
      <c r="B12" s="21" t="s">
        <v>80</v>
      </c>
      <c r="C12" s="21" t="s">
        <v>78</v>
      </c>
    </row>
    <row r="13" customFormat="false" ht="15" hidden="false" customHeight="false" outlineLevel="0" collapsed="false">
      <c r="A13" s="12" t="s">
        <v>81</v>
      </c>
      <c r="B13" s="21" t="s">
        <v>82</v>
      </c>
      <c r="C13" s="21" t="s">
        <v>83</v>
      </c>
    </row>
    <row r="14" customFormat="false" ht="15" hidden="false" customHeight="false" outlineLevel="0" collapsed="false">
      <c r="A14" s="12" t="s">
        <v>84</v>
      </c>
      <c r="B14" s="21" t="s">
        <v>85</v>
      </c>
      <c r="C14" s="21" t="s">
        <v>86</v>
      </c>
    </row>
    <row r="16" customFormat="false" ht="22.35" hidden="false" customHeight="true" outlineLevel="0" collapsed="false">
      <c r="A16" s="20" t="s">
        <v>87</v>
      </c>
      <c r="B16" s="20"/>
      <c r="C16" s="20"/>
    </row>
  </sheetData>
  <sheetProtection sheet="true" formatCells="false" formatColumns="false" formatRows="false" insertRows="false" selectLockedCells="true" selectUnlockedCells="true"/>
  <mergeCells count="2">
    <mergeCell ref="A2:C2"/>
    <mergeCell ref="A16:C16"/>
  </mergeCells>
  <dataValidations count="1">
    <dataValidation allowBlank="true" errorStyle="stop" operator="between" showDropDown="false" showErrorMessage="false" showInputMessage="false" sqref="C5:C14" type="list">
      <formula1>"Ingreso,Costo de venta,Gasto operativo,Gasto administrativo,Gasto financiero,Impuesto"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E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30"/>
    <col collapsed="false" customWidth="true" hidden="false" outlineLevel="0" max="4" min="4" style="0" width="16"/>
    <col collapsed="false" customWidth="true" hidden="false" outlineLevel="0" max="5" min="5" style="0" width="20"/>
  </cols>
  <sheetData>
    <row r="2" customFormat="false" ht="25.5" hidden="false" customHeight="true" outlineLevel="0" collapsed="false">
      <c r="A2" s="8" t="s">
        <v>88</v>
      </c>
      <c r="B2" s="8"/>
      <c r="C2" s="8"/>
      <c r="D2" s="8"/>
      <c r="E2" s="8"/>
    </row>
    <row r="3" customFormat="false" ht="15" hidden="false" customHeight="false" outlineLevel="0" collapsed="false">
      <c r="A3" s="7" t="s">
        <v>89</v>
      </c>
      <c r="B3" s="7"/>
      <c r="C3" s="7"/>
      <c r="D3" s="7"/>
      <c r="E3" s="7"/>
    </row>
    <row r="4" customFormat="false" ht="19.5" hidden="false" customHeight="true" outlineLevel="0" collapsed="false">
      <c r="A4" s="10" t="s">
        <v>90</v>
      </c>
      <c r="B4" s="10" t="s">
        <v>59</v>
      </c>
      <c r="C4" s="10" t="s">
        <v>91</v>
      </c>
      <c r="D4" s="10" t="s">
        <v>92</v>
      </c>
      <c r="E4" s="10" t="s">
        <v>93</v>
      </c>
    </row>
    <row r="5" customFormat="false" ht="15" hidden="false" customHeight="false" outlineLevel="0" collapsed="false">
      <c r="A5" s="22" t="n">
        <v>46027</v>
      </c>
      <c r="B5" s="21" t="s">
        <v>62</v>
      </c>
      <c r="C5" s="21" t="s">
        <v>94</v>
      </c>
      <c r="D5" s="23" t="n">
        <v>4200</v>
      </c>
      <c r="E5" s="24" t="str">
        <f aca="false">IF(B5="","",IFERROR(INDEX('Plan de Cuentas'!$C$5:$C$14,MATCH(B5,'Plan de Cuentas'!$B$5:$B$14,0)),"Cuenta no encontrada"))</f>
        <v>Ingreso</v>
      </c>
    </row>
    <row r="6" customFormat="false" ht="15" hidden="false" customHeight="false" outlineLevel="0" collapsed="false">
      <c r="A6" s="22" t="n">
        <v>46030</v>
      </c>
      <c r="B6" s="21" t="s">
        <v>67</v>
      </c>
      <c r="C6" s="21" t="s">
        <v>95</v>
      </c>
      <c r="D6" s="23" t="n">
        <v>1800</v>
      </c>
      <c r="E6" s="24" t="str">
        <f aca="false">IF(B6="","",IFERROR(INDEX('Plan de Cuentas'!$C$5:$C$14,MATCH(B6,'Plan de Cuentas'!$B$5:$B$14,0)),"Cuenta no encontrada"))</f>
        <v>Costo de venta</v>
      </c>
    </row>
    <row r="7" customFormat="false" ht="15" hidden="false" customHeight="false" outlineLevel="0" collapsed="false">
      <c r="A7" s="22" t="n">
        <v>46032</v>
      </c>
      <c r="B7" s="21" t="s">
        <v>70</v>
      </c>
      <c r="C7" s="21" t="s">
        <v>96</v>
      </c>
      <c r="D7" s="23" t="n">
        <v>1200</v>
      </c>
      <c r="E7" s="24" t="str">
        <f aca="false">IF(B7="","",IFERROR(INDEX('Plan de Cuentas'!$C$5:$C$14,MATCH(B7,'Plan de Cuentas'!$B$5:$B$14,0)),"Cuenta no encontrada"))</f>
        <v>Gasto operativo</v>
      </c>
    </row>
    <row r="8" customFormat="false" ht="15" hidden="false" customHeight="false" outlineLevel="0" collapsed="false">
      <c r="A8" s="22" t="n">
        <v>46034</v>
      </c>
      <c r="B8" s="21" t="s">
        <v>73</v>
      </c>
      <c r="C8" s="21" t="s">
        <v>97</v>
      </c>
      <c r="D8" s="23" t="n">
        <v>800</v>
      </c>
      <c r="E8" s="24" t="str">
        <f aca="false">IF(B8="","",IFERROR(INDEX('Plan de Cuentas'!$C$5:$C$14,MATCH(B8,'Plan de Cuentas'!$B$5:$B$14,0)),"Cuenta no encontrada"))</f>
        <v>Gasto operativo</v>
      </c>
    </row>
    <row r="9" customFormat="false" ht="15" hidden="false" customHeight="false" outlineLevel="0" collapsed="false">
      <c r="A9" s="22" t="n">
        <v>46037</v>
      </c>
      <c r="B9" s="21" t="s">
        <v>77</v>
      </c>
      <c r="C9" s="21" t="s">
        <v>98</v>
      </c>
      <c r="D9" s="23" t="n">
        <v>250</v>
      </c>
      <c r="E9" s="24" t="str">
        <f aca="false">IF(B9="","",IFERROR(INDEX('Plan de Cuentas'!$C$5:$C$14,MATCH(B9,'Plan de Cuentas'!$B$5:$B$14,0)),"Cuenta no encontrada"))</f>
        <v>Gasto administrativo</v>
      </c>
    </row>
    <row r="10" customFormat="false" ht="15" hidden="false" customHeight="false" outlineLevel="0" collapsed="false">
      <c r="A10" s="22" t="n">
        <v>46042</v>
      </c>
      <c r="B10" s="21" t="s">
        <v>75</v>
      </c>
      <c r="C10" s="21" t="s">
        <v>99</v>
      </c>
      <c r="D10" s="23" t="n">
        <v>180</v>
      </c>
      <c r="E10" s="24" t="str">
        <f aca="false">IF(B10="","",IFERROR(INDEX('Plan de Cuentas'!$C$5:$C$14,MATCH(B10,'Plan de Cuentas'!$B$5:$B$14,0)),"Cuenta no encontrada"))</f>
        <v>Gasto operativo</v>
      </c>
    </row>
    <row r="11" customFormat="false" ht="15" hidden="false" customHeight="false" outlineLevel="0" collapsed="false">
      <c r="A11" s="22" t="n">
        <v>46050</v>
      </c>
      <c r="B11" s="21" t="s">
        <v>82</v>
      </c>
      <c r="C11" s="21" t="s">
        <v>100</v>
      </c>
      <c r="D11" s="23" t="n">
        <v>40</v>
      </c>
      <c r="E11" s="24" t="str">
        <f aca="false">IF(B11="","",IFERROR(INDEX('Plan de Cuentas'!$C$5:$C$14,MATCH(B11,'Plan de Cuentas'!$B$5:$B$14,0)),"Cuenta no encontrada"))</f>
        <v>Gasto financiero</v>
      </c>
    </row>
    <row r="12" customFormat="false" ht="15" hidden="false" customHeight="false" outlineLevel="0" collapsed="false">
      <c r="A12" s="22" t="n">
        <v>46058</v>
      </c>
      <c r="B12" s="21" t="s">
        <v>62</v>
      </c>
      <c r="C12" s="21" t="s">
        <v>94</v>
      </c>
      <c r="D12" s="23" t="n">
        <v>4500</v>
      </c>
      <c r="E12" s="24" t="str">
        <f aca="false">IF(B12="","",IFERROR(INDEX('Plan de Cuentas'!$C$5:$C$14,MATCH(B12,'Plan de Cuentas'!$B$5:$B$14,0)),"Cuenta no encontrada"))</f>
        <v>Ingreso</v>
      </c>
    </row>
    <row r="13" customFormat="false" ht="15" hidden="false" customHeight="false" outlineLevel="0" collapsed="false">
      <c r="A13" s="22" t="n">
        <v>46059</v>
      </c>
      <c r="B13" s="21" t="s">
        <v>65</v>
      </c>
      <c r="C13" s="21" t="s">
        <v>101</v>
      </c>
      <c r="D13" s="23" t="n">
        <v>600</v>
      </c>
      <c r="E13" s="24" t="str">
        <f aca="false">IF(B13="","",IFERROR(INDEX('Plan de Cuentas'!$C$5:$C$14,MATCH(B13,'Plan de Cuentas'!$B$5:$B$14,0)),"Cuenta no encontrada"))</f>
        <v>Ingreso</v>
      </c>
    </row>
    <row r="14" customFormat="false" ht="15" hidden="false" customHeight="false" outlineLevel="0" collapsed="false">
      <c r="A14" s="22" t="n">
        <v>46061</v>
      </c>
      <c r="B14" s="21" t="s">
        <v>67</v>
      </c>
      <c r="C14" s="21" t="s">
        <v>95</v>
      </c>
      <c r="D14" s="23" t="n">
        <v>1900</v>
      </c>
      <c r="E14" s="24" t="str">
        <f aca="false">IF(B14="","",IFERROR(INDEX('Plan de Cuentas'!$C$5:$C$14,MATCH(B14,'Plan de Cuentas'!$B$5:$B$14,0)),"Cuenta no encontrada"))</f>
        <v>Costo de venta</v>
      </c>
    </row>
    <row r="15" customFormat="false" ht="15" hidden="false" customHeight="false" outlineLevel="0" collapsed="false">
      <c r="A15" s="22" t="n">
        <v>46063</v>
      </c>
      <c r="B15" s="21" t="s">
        <v>70</v>
      </c>
      <c r="C15" s="21" t="s">
        <v>102</v>
      </c>
      <c r="D15" s="23" t="n">
        <v>1200</v>
      </c>
      <c r="E15" s="24" t="str">
        <f aca="false">IF(B15="","",IFERROR(INDEX('Plan de Cuentas'!$C$5:$C$14,MATCH(B15,'Plan de Cuentas'!$B$5:$B$14,0)),"Cuenta no encontrada"))</f>
        <v>Gasto operativo</v>
      </c>
    </row>
    <row r="16" customFormat="false" ht="15" hidden="false" customHeight="false" outlineLevel="0" collapsed="false">
      <c r="A16" s="22" t="n">
        <v>46065</v>
      </c>
      <c r="B16" s="21" t="s">
        <v>73</v>
      </c>
      <c r="C16" s="21" t="s">
        <v>103</v>
      </c>
      <c r="D16" s="23" t="n">
        <v>800</v>
      </c>
      <c r="E16" s="24" t="str">
        <f aca="false">IF(B16="","",IFERROR(INDEX('Plan de Cuentas'!$C$5:$C$14,MATCH(B16,'Plan de Cuentas'!$B$5:$B$14,0)),"Cuenta no encontrada"))</f>
        <v>Gasto operativo</v>
      </c>
    </row>
    <row r="17" customFormat="false" ht="15" hidden="false" customHeight="false" outlineLevel="0" collapsed="false">
      <c r="A17" s="22" t="n">
        <v>46071</v>
      </c>
      <c r="B17" s="21" t="s">
        <v>80</v>
      </c>
      <c r="C17" s="21" t="s">
        <v>104</v>
      </c>
      <c r="D17" s="23" t="n">
        <v>60</v>
      </c>
      <c r="E17" s="24" t="str">
        <f aca="false">IF(B17="","",IFERROR(INDEX('Plan de Cuentas'!$C$5:$C$14,MATCH(B17,'Plan de Cuentas'!$B$5:$B$14,0)),"Cuenta no encontrada"))</f>
        <v>Gasto administrativo</v>
      </c>
    </row>
    <row r="18" customFormat="false" ht="15" hidden="false" customHeight="false" outlineLevel="0" collapsed="false">
      <c r="A18" s="22" t="n">
        <v>46080</v>
      </c>
      <c r="B18" s="21" t="s">
        <v>85</v>
      </c>
      <c r="C18" s="21" t="s">
        <v>105</v>
      </c>
      <c r="D18" s="23" t="n">
        <v>300</v>
      </c>
      <c r="E18" s="24" t="str">
        <f aca="false">IF(B18="","",IFERROR(INDEX('Plan de Cuentas'!$C$5:$C$14,MATCH(B18,'Plan de Cuentas'!$B$5:$B$14,0)),"Cuenta no encontrada"))</f>
        <v>Impuesto</v>
      </c>
    </row>
    <row r="19" customFormat="false" ht="15" hidden="false" customHeight="false" outlineLevel="0" collapsed="false">
      <c r="A19" s="22" t="n">
        <v>46086</v>
      </c>
      <c r="B19" s="21" t="s">
        <v>62</v>
      </c>
      <c r="C19" s="21" t="s">
        <v>94</v>
      </c>
      <c r="D19" s="23" t="n">
        <v>4800</v>
      </c>
      <c r="E19" s="24" t="str">
        <f aca="false">IF(B19="","",IFERROR(INDEX('Plan de Cuentas'!$C$5:$C$14,MATCH(B19,'Plan de Cuentas'!$B$5:$B$14,0)),"Cuenta no encontrada"))</f>
        <v>Ingreso</v>
      </c>
    </row>
    <row r="20" customFormat="false" ht="15" hidden="false" customHeight="false" outlineLevel="0" collapsed="false">
      <c r="A20" s="22" t="n">
        <v>46089</v>
      </c>
      <c r="B20" s="21" t="s">
        <v>67</v>
      </c>
      <c r="C20" s="21" t="s">
        <v>95</v>
      </c>
      <c r="D20" s="23" t="n">
        <v>2000</v>
      </c>
      <c r="E20" s="24" t="str">
        <f aca="false">IF(B20="","",IFERROR(INDEX('Plan de Cuentas'!$C$5:$C$14,MATCH(B20,'Plan de Cuentas'!$B$5:$B$14,0)),"Cuenta no encontrada"))</f>
        <v>Costo de venta</v>
      </c>
    </row>
    <row r="21" customFormat="false" ht="15" hidden="false" customHeight="false" outlineLevel="0" collapsed="false">
      <c r="A21" s="22" t="n">
        <v>46091</v>
      </c>
      <c r="B21" s="21" t="s">
        <v>70</v>
      </c>
      <c r="C21" s="21" t="s">
        <v>106</v>
      </c>
      <c r="D21" s="23" t="n">
        <v>1200</v>
      </c>
      <c r="E21" s="24" t="str">
        <f aca="false">IF(B21="","",IFERROR(INDEX('Plan de Cuentas'!$C$5:$C$14,MATCH(B21,'Plan de Cuentas'!$B$5:$B$14,0)),"Cuenta no encontrada"))</f>
        <v>Gasto operativo</v>
      </c>
    </row>
    <row r="22" customFormat="false" ht="15" hidden="false" customHeight="false" outlineLevel="0" collapsed="false">
      <c r="A22" s="22" t="n">
        <v>46093</v>
      </c>
      <c r="B22" s="21" t="s">
        <v>73</v>
      </c>
      <c r="C22" s="21" t="s">
        <v>107</v>
      </c>
      <c r="D22" s="23" t="n">
        <v>800</v>
      </c>
      <c r="E22" s="24" t="str">
        <f aca="false">IF(B22="","",IFERROR(INDEX('Plan de Cuentas'!$C$5:$C$14,MATCH(B22,'Plan de Cuentas'!$B$5:$B$14,0)),"Cuenta no encontrada"))</f>
        <v>Gasto operativo</v>
      </c>
    </row>
    <row r="23" customFormat="false" ht="15" hidden="false" customHeight="false" outlineLevel="0" collapsed="false">
      <c r="A23" s="22" t="n">
        <v>46096</v>
      </c>
      <c r="B23" s="21" t="s">
        <v>77</v>
      </c>
      <c r="C23" s="21" t="s">
        <v>98</v>
      </c>
      <c r="D23" s="23" t="n">
        <v>300</v>
      </c>
      <c r="E23" s="24" t="str">
        <f aca="false">IF(B23="","",IFERROR(INDEX('Plan de Cuentas'!$C$5:$C$14,MATCH(B23,'Plan de Cuentas'!$B$5:$B$14,0)),"Cuenta no encontrada"))</f>
        <v>Gasto administrativo</v>
      </c>
    </row>
    <row r="24" customFormat="false" ht="15" hidden="false" customHeight="false" outlineLevel="0" collapsed="false">
      <c r="A24" s="22" t="n">
        <v>46108</v>
      </c>
      <c r="B24" s="21" t="s">
        <v>85</v>
      </c>
      <c r="C24" s="21" t="s">
        <v>105</v>
      </c>
      <c r="D24" s="23" t="n">
        <v>320</v>
      </c>
      <c r="E24" s="24" t="str">
        <f aca="false">IF(B24="","",IFERROR(INDEX('Plan de Cuentas'!$C$5:$C$14,MATCH(B24,'Plan de Cuentas'!$B$5:$B$14,0)),"Cuenta no encontrada"))</f>
        <v>Impuesto</v>
      </c>
    </row>
    <row r="25" customFormat="false" ht="15" hidden="false" customHeight="false" outlineLevel="0" collapsed="false">
      <c r="A25" s="22"/>
      <c r="B25" s="21"/>
      <c r="C25" s="21"/>
      <c r="D25" s="23"/>
      <c r="E25" s="24" t="str">
        <f aca="false">IF(B25="","",IFERROR(INDEX('Plan de Cuentas'!$C$5:$C$14,MATCH(B25,'Plan de Cuentas'!$B$5:$B$14,0)),"Cuenta no encontrada"))</f>
        <v/>
      </c>
    </row>
    <row r="26" customFormat="false" ht="15" hidden="false" customHeight="false" outlineLevel="0" collapsed="false">
      <c r="A26" s="22"/>
      <c r="B26" s="21"/>
      <c r="C26" s="21"/>
      <c r="D26" s="23"/>
      <c r="E26" s="24" t="str">
        <f aca="false">IF(B26="","",IFERROR(INDEX('Plan de Cuentas'!$C$5:$C$14,MATCH(B26,'Plan de Cuentas'!$B$5:$B$14,0)),"Cuenta no encontrada"))</f>
        <v/>
      </c>
    </row>
    <row r="27" customFormat="false" ht="15" hidden="false" customHeight="false" outlineLevel="0" collapsed="false">
      <c r="A27" s="22"/>
      <c r="B27" s="21"/>
      <c r="C27" s="21"/>
      <c r="D27" s="23"/>
      <c r="E27" s="24" t="str">
        <f aca="false">IF(B27="","",IFERROR(INDEX('Plan de Cuentas'!$C$5:$C$14,MATCH(B27,'Plan de Cuentas'!$B$5:$B$14,0)),"Cuenta no encontrada"))</f>
        <v/>
      </c>
    </row>
    <row r="28" customFormat="false" ht="15" hidden="false" customHeight="false" outlineLevel="0" collapsed="false">
      <c r="A28" s="22"/>
      <c r="B28" s="21"/>
      <c r="C28" s="21"/>
      <c r="D28" s="23"/>
      <c r="E28" s="24" t="str">
        <f aca="false">IF(B28="","",IFERROR(INDEX('Plan de Cuentas'!$C$5:$C$14,MATCH(B28,'Plan de Cuentas'!$B$5:$B$14,0)),"Cuenta no encontrada"))</f>
        <v/>
      </c>
    </row>
    <row r="29" customFormat="false" ht="15" hidden="false" customHeight="false" outlineLevel="0" collapsed="false">
      <c r="A29" s="22"/>
      <c r="B29" s="21"/>
      <c r="C29" s="21"/>
      <c r="D29" s="23"/>
      <c r="E29" s="24" t="str">
        <f aca="false">IF(B29="","",IFERROR(INDEX('Plan de Cuentas'!$C$5:$C$14,MATCH(B29,'Plan de Cuentas'!$B$5:$B$14,0)),"Cuenta no encontrada"))</f>
        <v/>
      </c>
    </row>
    <row r="30" customFormat="false" ht="15" hidden="false" customHeight="false" outlineLevel="0" collapsed="false">
      <c r="A30" s="22"/>
      <c r="B30" s="21"/>
      <c r="C30" s="21"/>
      <c r="D30" s="23"/>
      <c r="E30" s="24" t="str">
        <f aca="false">IF(B30="","",IFERROR(INDEX('Plan de Cuentas'!$C$5:$C$14,MATCH(B30,'Plan de Cuentas'!$B$5:$B$14,0)),"Cuenta no encontrada"))</f>
        <v/>
      </c>
    </row>
    <row r="31" customFormat="false" ht="15" hidden="false" customHeight="false" outlineLevel="0" collapsed="false">
      <c r="A31" s="22"/>
      <c r="B31" s="21"/>
      <c r="C31" s="21"/>
      <c r="D31" s="23"/>
      <c r="E31" s="24" t="str">
        <f aca="false">IF(B31="","",IFERROR(INDEX('Plan de Cuentas'!$C$5:$C$14,MATCH(B31,'Plan de Cuentas'!$B$5:$B$14,0)),"Cuenta no encontrada"))</f>
        <v/>
      </c>
    </row>
    <row r="32" customFormat="false" ht="15" hidden="false" customHeight="false" outlineLevel="0" collapsed="false">
      <c r="A32" s="22"/>
      <c r="B32" s="21"/>
      <c r="C32" s="21"/>
      <c r="D32" s="23"/>
      <c r="E32" s="24" t="str">
        <f aca="false">IF(B32="","",IFERROR(INDEX('Plan de Cuentas'!$C$5:$C$14,MATCH(B32,'Plan de Cuentas'!$B$5:$B$14,0)),"Cuenta no encontrada"))</f>
        <v/>
      </c>
    </row>
    <row r="33" customFormat="false" ht="15" hidden="false" customHeight="false" outlineLevel="0" collapsed="false">
      <c r="A33" s="22"/>
      <c r="B33" s="21"/>
      <c r="C33" s="21"/>
      <c r="D33" s="23"/>
      <c r="E33" s="24" t="str">
        <f aca="false">IF(B33="","",IFERROR(INDEX('Plan de Cuentas'!$C$5:$C$14,MATCH(B33,'Plan de Cuentas'!$B$5:$B$14,0)),"Cuenta no encontrada"))</f>
        <v/>
      </c>
    </row>
    <row r="34" customFormat="false" ht="15" hidden="false" customHeight="false" outlineLevel="0" collapsed="false">
      <c r="A34" s="22"/>
      <c r="B34" s="21"/>
      <c r="C34" s="21"/>
      <c r="D34" s="23"/>
      <c r="E34" s="24" t="str">
        <f aca="false">IF(B34="","",IFERROR(INDEX('Plan de Cuentas'!$C$5:$C$14,MATCH(B34,'Plan de Cuentas'!$B$5:$B$14,0)),"Cuenta no encontrada"))</f>
        <v/>
      </c>
    </row>
    <row r="35" customFormat="false" ht="15" hidden="false" customHeight="false" outlineLevel="0" collapsed="false">
      <c r="A35" s="22"/>
      <c r="B35" s="21"/>
      <c r="C35" s="21"/>
      <c r="D35" s="23"/>
      <c r="E35" s="24" t="str">
        <f aca="false">IF(B35="","",IFERROR(INDEX('Plan de Cuentas'!$C$5:$C$14,MATCH(B35,'Plan de Cuentas'!$B$5:$B$14,0)),"Cuenta no encontrada"))</f>
        <v/>
      </c>
    </row>
    <row r="36" customFormat="false" ht="15" hidden="false" customHeight="false" outlineLevel="0" collapsed="false">
      <c r="A36" s="22"/>
      <c r="B36" s="21"/>
      <c r="C36" s="21"/>
      <c r="D36" s="23"/>
      <c r="E36" s="24" t="str">
        <f aca="false">IF(B36="","",IFERROR(INDEX('Plan de Cuentas'!$C$5:$C$14,MATCH(B36,'Plan de Cuentas'!$B$5:$B$14,0)),"Cuenta no encontrada"))</f>
        <v/>
      </c>
    </row>
    <row r="37" customFormat="false" ht="15" hidden="false" customHeight="false" outlineLevel="0" collapsed="false">
      <c r="A37" s="22"/>
      <c r="B37" s="21"/>
      <c r="C37" s="21"/>
      <c r="D37" s="23"/>
      <c r="E37" s="24" t="str">
        <f aca="false">IF(B37="","",IFERROR(INDEX('Plan de Cuentas'!$C$5:$C$14,MATCH(B37,'Plan de Cuentas'!$B$5:$B$14,0)),"Cuenta no encontrada"))</f>
        <v/>
      </c>
    </row>
    <row r="38" customFormat="false" ht="15" hidden="false" customHeight="false" outlineLevel="0" collapsed="false">
      <c r="A38" s="22"/>
      <c r="B38" s="21"/>
      <c r="C38" s="21"/>
      <c r="D38" s="23"/>
      <c r="E38" s="24" t="str">
        <f aca="false">IF(B38="","",IFERROR(INDEX('Plan de Cuentas'!$C$5:$C$14,MATCH(B38,'Plan de Cuentas'!$B$5:$B$14,0)),"Cuenta no encontrada"))</f>
        <v/>
      </c>
    </row>
    <row r="39" customFormat="false" ht="15" hidden="false" customHeight="false" outlineLevel="0" collapsed="false">
      <c r="A39" s="22"/>
      <c r="B39" s="21"/>
      <c r="C39" s="21"/>
      <c r="D39" s="23"/>
      <c r="E39" s="24" t="str">
        <f aca="false">IF(B39="","",IFERROR(INDEX('Plan de Cuentas'!$C$5:$C$14,MATCH(B39,'Plan de Cuentas'!$B$5:$B$14,0)),"Cuenta no encontrada"))</f>
        <v/>
      </c>
    </row>
    <row r="40" customFormat="false" ht="15" hidden="false" customHeight="false" outlineLevel="0" collapsed="false">
      <c r="A40" s="22"/>
      <c r="B40" s="21"/>
      <c r="C40" s="21"/>
      <c r="D40" s="23"/>
      <c r="E40" s="24" t="str">
        <f aca="false">IF(B40="","",IFERROR(INDEX('Plan de Cuentas'!$C$5:$C$14,MATCH(B40,'Plan de Cuentas'!$B$5:$B$14,0)),"Cuenta no encontrada"))</f>
        <v/>
      </c>
    </row>
    <row r="41" customFormat="false" ht="15" hidden="false" customHeight="false" outlineLevel="0" collapsed="false">
      <c r="A41" s="22"/>
      <c r="B41" s="21"/>
      <c r="C41" s="21"/>
      <c r="D41" s="23"/>
      <c r="E41" s="24" t="str">
        <f aca="false">IF(B41="","",IFERROR(INDEX('Plan de Cuentas'!$C$5:$C$14,MATCH(B41,'Plan de Cuentas'!$B$5:$B$14,0)),"Cuenta no encontrada"))</f>
        <v/>
      </c>
    </row>
    <row r="42" customFormat="false" ht="15" hidden="false" customHeight="false" outlineLevel="0" collapsed="false">
      <c r="A42" s="22"/>
      <c r="B42" s="21"/>
      <c r="C42" s="21"/>
      <c r="D42" s="23"/>
      <c r="E42" s="24" t="str">
        <f aca="false">IF(B42="","",IFERROR(INDEX('Plan de Cuentas'!$C$5:$C$14,MATCH(B42,'Plan de Cuentas'!$B$5:$B$14,0)),"Cuenta no encontrada"))</f>
        <v/>
      </c>
    </row>
    <row r="43" customFormat="false" ht="15" hidden="false" customHeight="false" outlineLevel="0" collapsed="false">
      <c r="A43" s="22"/>
      <c r="B43" s="21"/>
      <c r="C43" s="21"/>
      <c r="D43" s="23"/>
      <c r="E43" s="24" t="str">
        <f aca="false">IF(B43="","",IFERROR(INDEX('Plan de Cuentas'!$C$5:$C$14,MATCH(B43,'Plan de Cuentas'!$B$5:$B$14,0)),"Cuenta no encontrada"))</f>
        <v/>
      </c>
    </row>
    <row r="44" customFormat="false" ht="15" hidden="false" customHeight="false" outlineLevel="0" collapsed="false">
      <c r="A44" s="22"/>
      <c r="B44" s="21"/>
      <c r="C44" s="21"/>
      <c r="D44" s="23"/>
      <c r="E44" s="24" t="str">
        <f aca="false">IF(B44="","",IFERROR(INDEX('Plan de Cuentas'!$C$5:$C$14,MATCH(B44,'Plan de Cuentas'!$B$5:$B$14,0)),"Cuenta no encontrada"))</f>
        <v/>
      </c>
    </row>
    <row r="45" customFormat="false" ht="15" hidden="false" customHeight="false" outlineLevel="0" collapsed="false">
      <c r="A45" s="22"/>
      <c r="B45" s="21"/>
      <c r="C45" s="21"/>
      <c r="D45" s="23"/>
      <c r="E45" s="24" t="str">
        <f aca="false">IF(B45="","",IFERROR(INDEX('Plan de Cuentas'!$C$5:$C$14,MATCH(B45,'Plan de Cuentas'!$B$5:$B$14,0)),"Cuenta no encontrada"))</f>
        <v/>
      </c>
    </row>
    <row r="46" customFormat="false" ht="15" hidden="false" customHeight="false" outlineLevel="0" collapsed="false">
      <c r="A46" s="22"/>
      <c r="B46" s="21"/>
      <c r="C46" s="21"/>
      <c r="D46" s="23"/>
      <c r="E46" s="24" t="str">
        <f aca="false">IF(B46="","",IFERROR(INDEX('Plan de Cuentas'!$C$5:$C$14,MATCH(B46,'Plan de Cuentas'!$B$5:$B$14,0)),"Cuenta no encontrada"))</f>
        <v/>
      </c>
    </row>
    <row r="47" customFormat="false" ht="15" hidden="false" customHeight="false" outlineLevel="0" collapsed="false">
      <c r="A47" s="22"/>
      <c r="B47" s="21"/>
      <c r="C47" s="21"/>
      <c r="D47" s="23"/>
      <c r="E47" s="24" t="str">
        <f aca="false">IF(B47="","",IFERROR(INDEX('Plan de Cuentas'!$C$5:$C$14,MATCH(B47,'Plan de Cuentas'!$B$5:$B$14,0)),"Cuenta no encontrada"))</f>
        <v/>
      </c>
    </row>
    <row r="48" customFormat="false" ht="15" hidden="false" customHeight="false" outlineLevel="0" collapsed="false">
      <c r="A48" s="22"/>
      <c r="B48" s="21"/>
      <c r="C48" s="21"/>
      <c r="D48" s="23"/>
      <c r="E48" s="24" t="str">
        <f aca="false">IF(B48="","",IFERROR(INDEX('Plan de Cuentas'!$C$5:$C$14,MATCH(B48,'Plan de Cuentas'!$B$5:$B$14,0)),"Cuenta no encontrada"))</f>
        <v/>
      </c>
    </row>
    <row r="49" customFormat="false" ht="15" hidden="false" customHeight="false" outlineLevel="0" collapsed="false">
      <c r="A49" s="22"/>
      <c r="B49" s="21"/>
      <c r="C49" s="21"/>
      <c r="D49" s="23"/>
      <c r="E49" s="24" t="str">
        <f aca="false">IF(B49="","",IFERROR(INDEX('Plan de Cuentas'!$C$5:$C$14,MATCH(B49,'Plan de Cuentas'!$B$5:$B$14,0)),"Cuenta no encontrada"))</f>
        <v/>
      </c>
    </row>
    <row r="50" customFormat="false" ht="15" hidden="false" customHeight="false" outlineLevel="0" collapsed="false">
      <c r="A50" s="22"/>
      <c r="B50" s="21"/>
      <c r="C50" s="21"/>
      <c r="D50" s="23"/>
      <c r="E50" s="24" t="str">
        <f aca="false">IF(B50="","",IFERROR(INDEX('Plan de Cuentas'!$C$5:$C$14,MATCH(B50,'Plan de Cuentas'!$B$5:$B$14,0)),"Cuenta no encontrada"))</f>
        <v/>
      </c>
    </row>
    <row r="51" customFormat="false" ht="15" hidden="false" customHeight="false" outlineLevel="0" collapsed="false">
      <c r="A51" s="22"/>
      <c r="B51" s="21"/>
      <c r="C51" s="21"/>
      <c r="D51" s="23"/>
      <c r="E51" s="24" t="str">
        <f aca="false">IF(B51="","",IFERROR(INDEX('Plan de Cuentas'!$C$5:$C$14,MATCH(B51,'Plan de Cuentas'!$B$5:$B$14,0)),"Cuenta no encontrada"))</f>
        <v/>
      </c>
    </row>
    <row r="52" customFormat="false" ht="15" hidden="false" customHeight="false" outlineLevel="0" collapsed="false">
      <c r="A52" s="22"/>
      <c r="B52" s="21"/>
      <c r="C52" s="21"/>
      <c r="D52" s="23"/>
      <c r="E52" s="24" t="str">
        <f aca="false">IF(B52="","",IFERROR(INDEX('Plan de Cuentas'!$C$5:$C$14,MATCH(B52,'Plan de Cuentas'!$B$5:$B$14,0)),"Cuenta no encontrada"))</f>
        <v/>
      </c>
    </row>
    <row r="53" customFormat="false" ht="15" hidden="false" customHeight="false" outlineLevel="0" collapsed="false">
      <c r="A53" s="22"/>
      <c r="B53" s="21"/>
      <c r="C53" s="21"/>
      <c r="D53" s="23"/>
      <c r="E53" s="24" t="str">
        <f aca="false">IF(B53="","",IFERROR(INDEX('Plan de Cuentas'!$C$5:$C$14,MATCH(B53,'Plan de Cuentas'!$B$5:$B$14,0)),"Cuenta no encontrada"))</f>
        <v/>
      </c>
    </row>
    <row r="54" customFormat="false" ht="15" hidden="false" customHeight="false" outlineLevel="0" collapsed="false">
      <c r="A54" s="22"/>
      <c r="B54" s="21"/>
      <c r="C54" s="21"/>
      <c r="D54" s="23"/>
      <c r="E54" s="24" t="str">
        <f aca="false">IF(B54="","",IFERROR(INDEX('Plan de Cuentas'!$C$5:$C$14,MATCH(B54,'Plan de Cuentas'!$B$5:$B$14,0)),"Cuenta no encontrada"))</f>
        <v/>
      </c>
    </row>
    <row r="55" customFormat="false" ht="15" hidden="false" customHeight="false" outlineLevel="0" collapsed="false">
      <c r="A55" s="22"/>
      <c r="B55" s="21"/>
      <c r="C55" s="21"/>
      <c r="D55" s="23"/>
      <c r="E55" s="24" t="str">
        <f aca="false">IF(B55="","",IFERROR(INDEX('Plan de Cuentas'!$C$5:$C$14,MATCH(B55,'Plan de Cuentas'!$B$5:$B$14,0)),"Cuenta no encontrada"))</f>
        <v/>
      </c>
    </row>
    <row r="56" customFormat="false" ht="15" hidden="false" customHeight="false" outlineLevel="0" collapsed="false">
      <c r="A56" s="22"/>
      <c r="B56" s="21"/>
      <c r="C56" s="21"/>
      <c r="D56" s="23"/>
      <c r="E56" s="24" t="str">
        <f aca="false">IF(B56="","",IFERROR(INDEX('Plan de Cuentas'!$C$5:$C$14,MATCH(B56,'Plan de Cuentas'!$B$5:$B$14,0)),"Cuenta no encontrada"))</f>
        <v/>
      </c>
    </row>
    <row r="57" customFormat="false" ht="15" hidden="false" customHeight="false" outlineLevel="0" collapsed="false">
      <c r="A57" s="22"/>
      <c r="B57" s="21"/>
      <c r="C57" s="21"/>
      <c r="D57" s="23"/>
      <c r="E57" s="24" t="str">
        <f aca="false">IF(B57="","",IFERROR(INDEX('Plan de Cuentas'!$C$5:$C$14,MATCH(B57,'Plan de Cuentas'!$B$5:$B$14,0)),"Cuenta no encontrada"))</f>
        <v/>
      </c>
    </row>
    <row r="58" customFormat="false" ht="15" hidden="false" customHeight="false" outlineLevel="0" collapsed="false">
      <c r="A58" s="22"/>
      <c r="B58" s="21"/>
      <c r="C58" s="21"/>
      <c r="D58" s="23"/>
      <c r="E58" s="24" t="str">
        <f aca="false">IF(B58="","",IFERROR(INDEX('Plan de Cuentas'!$C$5:$C$14,MATCH(B58,'Plan de Cuentas'!$B$5:$B$14,0)),"Cuenta no encontrada"))</f>
        <v/>
      </c>
    </row>
    <row r="59" customFormat="false" ht="15" hidden="false" customHeight="false" outlineLevel="0" collapsed="false">
      <c r="A59" s="22"/>
      <c r="B59" s="21"/>
      <c r="C59" s="21"/>
      <c r="D59" s="23"/>
      <c r="E59" s="24" t="str">
        <f aca="false">IF(B59="","",IFERROR(INDEX('Plan de Cuentas'!$C$5:$C$14,MATCH(B59,'Plan de Cuentas'!$B$5:$B$14,0)),"Cuenta no encontrada"))</f>
        <v/>
      </c>
    </row>
    <row r="60" customFormat="false" ht="15" hidden="false" customHeight="false" outlineLevel="0" collapsed="false">
      <c r="A60" s="22"/>
      <c r="B60" s="21"/>
      <c r="C60" s="21"/>
      <c r="D60" s="23"/>
      <c r="E60" s="24" t="str">
        <f aca="false">IF(B60="","",IFERROR(INDEX('Plan de Cuentas'!$C$5:$C$14,MATCH(B60,'Plan de Cuentas'!$B$5:$B$14,0)),"Cuenta no encontrada"))</f>
        <v/>
      </c>
    </row>
    <row r="61" customFormat="false" ht="15" hidden="false" customHeight="false" outlineLevel="0" collapsed="false">
      <c r="A61" s="22"/>
      <c r="B61" s="21"/>
      <c r="C61" s="21"/>
      <c r="D61" s="23"/>
      <c r="E61" s="24" t="str">
        <f aca="false">IF(B61="","",IFERROR(INDEX('Plan de Cuentas'!$C$5:$C$14,MATCH(B61,'Plan de Cuentas'!$B$5:$B$14,0)),"Cuenta no encontrada"))</f>
        <v/>
      </c>
    </row>
    <row r="62" customFormat="false" ht="15" hidden="false" customHeight="false" outlineLevel="0" collapsed="false">
      <c r="A62" s="22"/>
      <c r="B62" s="21"/>
      <c r="C62" s="21"/>
      <c r="D62" s="23"/>
      <c r="E62" s="24" t="str">
        <f aca="false">IF(B62="","",IFERROR(INDEX('Plan de Cuentas'!$C$5:$C$14,MATCH(B62,'Plan de Cuentas'!$B$5:$B$14,0)),"Cuenta no encontrada"))</f>
        <v/>
      </c>
    </row>
    <row r="63" customFormat="false" ht="15" hidden="false" customHeight="false" outlineLevel="0" collapsed="false">
      <c r="A63" s="22"/>
      <c r="B63" s="21"/>
      <c r="C63" s="21"/>
      <c r="D63" s="23"/>
      <c r="E63" s="24" t="str">
        <f aca="false">IF(B63="","",IFERROR(INDEX('Plan de Cuentas'!$C$5:$C$14,MATCH(B63,'Plan de Cuentas'!$B$5:$B$14,0)),"Cuenta no encontrada"))</f>
        <v/>
      </c>
    </row>
    <row r="64" customFormat="false" ht="15" hidden="false" customHeight="false" outlineLevel="0" collapsed="false">
      <c r="A64" s="22"/>
      <c r="B64" s="21"/>
      <c r="C64" s="21"/>
      <c r="D64" s="23"/>
      <c r="E64" s="24" t="str">
        <f aca="false">IF(B64="","",IFERROR(INDEX('Plan de Cuentas'!$C$5:$C$14,MATCH(B64,'Plan de Cuentas'!$B$5:$B$14,0)),"Cuenta no encontrada"))</f>
        <v/>
      </c>
    </row>
    <row r="65" customFormat="false" ht="15" hidden="false" customHeight="false" outlineLevel="0" collapsed="false">
      <c r="A65" s="22"/>
      <c r="B65" s="21"/>
      <c r="C65" s="21"/>
      <c r="D65" s="23"/>
      <c r="E65" s="24" t="str">
        <f aca="false">IF(B65="","",IFERROR(INDEX('Plan de Cuentas'!$C$5:$C$14,MATCH(B65,'Plan de Cuentas'!$B$5:$B$14,0)),"Cuenta no encontrada"))</f>
        <v/>
      </c>
    </row>
    <row r="66" customFormat="false" ht="15" hidden="false" customHeight="false" outlineLevel="0" collapsed="false">
      <c r="A66" s="22"/>
      <c r="B66" s="21"/>
      <c r="C66" s="21"/>
      <c r="D66" s="23"/>
      <c r="E66" s="24" t="str">
        <f aca="false">IF(B66="","",IFERROR(INDEX('Plan de Cuentas'!$C$5:$C$14,MATCH(B66,'Plan de Cuentas'!$B$5:$B$14,0)),"Cuenta no encontrada"))</f>
        <v/>
      </c>
    </row>
    <row r="67" customFormat="false" ht="15" hidden="false" customHeight="false" outlineLevel="0" collapsed="false">
      <c r="A67" s="22"/>
      <c r="B67" s="21"/>
      <c r="C67" s="21"/>
      <c r="D67" s="23"/>
      <c r="E67" s="24" t="str">
        <f aca="false">IF(B67="","",IFERROR(INDEX('Plan de Cuentas'!$C$5:$C$14,MATCH(B67,'Plan de Cuentas'!$B$5:$B$14,0)),"Cuenta no encontrada"))</f>
        <v/>
      </c>
    </row>
    <row r="68" customFormat="false" ht="15" hidden="false" customHeight="false" outlineLevel="0" collapsed="false">
      <c r="A68" s="22"/>
      <c r="B68" s="21"/>
      <c r="C68" s="21"/>
      <c r="D68" s="23"/>
      <c r="E68" s="24" t="str">
        <f aca="false">IF(B68="","",IFERROR(INDEX('Plan de Cuentas'!$C$5:$C$14,MATCH(B68,'Plan de Cuentas'!$B$5:$B$14,0)),"Cuenta no encontrada"))</f>
        <v/>
      </c>
    </row>
    <row r="69" customFormat="false" ht="15" hidden="false" customHeight="false" outlineLevel="0" collapsed="false">
      <c r="A69" s="22"/>
      <c r="B69" s="21"/>
      <c r="C69" s="21"/>
      <c r="D69" s="23"/>
      <c r="E69" s="24" t="str">
        <f aca="false">IF(B69="","",IFERROR(INDEX('Plan de Cuentas'!$C$5:$C$14,MATCH(B69,'Plan de Cuentas'!$B$5:$B$14,0)),"Cuenta no encontrada"))</f>
        <v/>
      </c>
    </row>
    <row r="70" customFormat="false" ht="15" hidden="false" customHeight="false" outlineLevel="0" collapsed="false">
      <c r="A70" s="22"/>
      <c r="B70" s="21"/>
      <c r="C70" s="21"/>
      <c r="D70" s="23"/>
      <c r="E70" s="24" t="str">
        <f aca="false">IF(B70="","",IFERROR(INDEX('Plan de Cuentas'!$C$5:$C$14,MATCH(B70,'Plan de Cuentas'!$B$5:$B$14,0)),"Cuenta no encontrada"))</f>
        <v/>
      </c>
    </row>
    <row r="71" customFormat="false" ht="15" hidden="false" customHeight="false" outlineLevel="0" collapsed="false">
      <c r="A71" s="22"/>
      <c r="B71" s="21"/>
      <c r="C71" s="21"/>
      <c r="D71" s="23"/>
      <c r="E71" s="24" t="str">
        <f aca="false">IF(B71="","",IFERROR(INDEX('Plan de Cuentas'!$C$5:$C$14,MATCH(B71,'Plan de Cuentas'!$B$5:$B$14,0)),"Cuenta no encontrada"))</f>
        <v/>
      </c>
    </row>
    <row r="72" customFormat="false" ht="15" hidden="false" customHeight="false" outlineLevel="0" collapsed="false">
      <c r="A72" s="22"/>
      <c r="B72" s="21"/>
      <c r="C72" s="21"/>
      <c r="D72" s="23"/>
      <c r="E72" s="24" t="str">
        <f aca="false">IF(B72="","",IFERROR(INDEX('Plan de Cuentas'!$C$5:$C$14,MATCH(B72,'Plan de Cuentas'!$B$5:$B$14,0)),"Cuenta no encontrada"))</f>
        <v/>
      </c>
    </row>
    <row r="73" customFormat="false" ht="15" hidden="false" customHeight="false" outlineLevel="0" collapsed="false">
      <c r="A73" s="22"/>
      <c r="B73" s="21"/>
      <c r="C73" s="21"/>
      <c r="D73" s="23"/>
      <c r="E73" s="24" t="str">
        <f aca="false">IF(B73="","",IFERROR(INDEX('Plan de Cuentas'!$C$5:$C$14,MATCH(B73,'Plan de Cuentas'!$B$5:$B$14,0)),"Cuenta no encontrada"))</f>
        <v/>
      </c>
    </row>
    <row r="74" customFormat="false" ht="15" hidden="false" customHeight="false" outlineLevel="0" collapsed="false">
      <c r="A74" s="22"/>
      <c r="B74" s="21"/>
      <c r="C74" s="21"/>
      <c r="D74" s="23"/>
      <c r="E74" s="24" t="str">
        <f aca="false">IF(B74="","",IFERROR(INDEX('Plan de Cuentas'!$C$5:$C$14,MATCH(B74,'Plan de Cuentas'!$B$5:$B$14,0)),"Cuenta no encontrada"))</f>
        <v/>
      </c>
    </row>
    <row r="75" customFormat="false" ht="15" hidden="false" customHeight="false" outlineLevel="0" collapsed="false">
      <c r="A75" s="22"/>
      <c r="B75" s="21"/>
      <c r="C75" s="21"/>
      <c r="D75" s="23"/>
      <c r="E75" s="24" t="str">
        <f aca="false">IF(B75="","",IFERROR(INDEX('Plan de Cuentas'!$C$5:$C$14,MATCH(B75,'Plan de Cuentas'!$B$5:$B$14,0)),"Cuenta no encontrada"))</f>
        <v/>
      </c>
    </row>
    <row r="76" customFormat="false" ht="15" hidden="false" customHeight="false" outlineLevel="0" collapsed="false">
      <c r="A76" s="22"/>
      <c r="B76" s="21"/>
      <c r="C76" s="21"/>
      <c r="D76" s="23"/>
      <c r="E76" s="24" t="str">
        <f aca="false">IF(B76="","",IFERROR(INDEX('Plan de Cuentas'!$C$5:$C$14,MATCH(B76,'Plan de Cuentas'!$B$5:$B$14,0)),"Cuenta no encontrada"))</f>
        <v/>
      </c>
    </row>
    <row r="77" customFormat="false" ht="15" hidden="false" customHeight="false" outlineLevel="0" collapsed="false">
      <c r="A77" s="22"/>
      <c r="B77" s="21"/>
      <c r="C77" s="21"/>
      <c r="D77" s="23"/>
      <c r="E77" s="24" t="str">
        <f aca="false">IF(B77="","",IFERROR(INDEX('Plan de Cuentas'!$C$5:$C$14,MATCH(B77,'Plan de Cuentas'!$B$5:$B$14,0)),"Cuenta no encontrada"))</f>
        <v/>
      </c>
    </row>
    <row r="78" customFormat="false" ht="15" hidden="false" customHeight="false" outlineLevel="0" collapsed="false">
      <c r="A78" s="22"/>
      <c r="B78" s="21"/>
      <c r="C78" s="21"/>
      <c r="D78" s="23"/>
      <c r="E78" s="24" t="str">
        <f aca="false">IF(B78="","",IFERROR(INDEX('Plan de Cuentas'!$C$5:$C$14,MATCH(B78,'Plan de Cuentas'!$B$5:$B$14,0)),"Cuenta no encontrada"))</f>
        <v/>
      </c>
    </row>
    <row r="79" customFormat="false" ht="15" hidden="false" customHeight="false" outlineLevel="0" collapsed="false">
      <c r="A79" s="22"/>
      <c r="B79" s="21"/>
      <c r="C79" s="21"/>
      <c r="D79" s="23"/>
      <c r="E79" s="24" t="str">
        <f aca="false">IF(B79="","",IFERROR(INDEX('Plan de Cuentas'!$C$5:$C$14,MATCH(B79,'Plan de Cuentas'!$B$5:$B$14,0)),"Cuenta no encontrada"))</f>
        <v/>
      </c>
    </row>
    <row r="80" customFormat="false" ht="15" hidden="false" customHeight="false" outlineLevel="0" collapsed="false">
      <c r="A80" s="22"/>
      <c r="B80" s="21"/>
      <c r="C80" s="21"/>
      <c r="D80" s="23"/>
      <c r="E80" s="24" t="str">
        <f aca="false">IF(B80="","",IFERROR(INDEX('Plan de Cuentas'!$C$5:$C$14,MATCH(B80,'Plan de Cuentas'!$B$5:$B$14,0)),"Cuenta no encontrada"))</f>
        <v/>
      </c>
    </row>
    <row r="81" customFormat="false" ht="15" hidden="false" customHeight="false" outlineLevel="0" collapsed="false">
      <c r="A81" s="22"/>
      <c r="B81" s="21"/>
      <c r="C81" s="21"/>
      <c r="D81" s="23"/>
      <c r="E81" s="24" t="str">
        <f aca="false">IF(B81="","",IFERROR(INDEX('Plan de Cuentas'!$C$5:$C$14,MATCH(B81,'Plan de Cuentas'!$B$5:$B$14,0)),"Cuenta no encontrada"))</f>
        <v/>
      </c>
    </row>
    <row r="82" customFormat="false" ht="15" hidden="false" customHeight="false" outlineLevel="0" collapsed="false">
      <c r="A82" s="22"/>
      <c r="B82" s="21"/>
      <c r="C82" s="21"/>
      <c r="D82" s="23"/>
      <c r="E82" s="24" t="str">
        <f aca="false">IF(B82="","",IFERROR(INDEX('Plan de Cuentas'!$C$5:$C$14,MATCH(B82,'Plan de Cuentas'!$B$5:$B$14,0)),"Cuenta no encontrada"))</f>
        <v/>
      </c>
    </row>
    <row r="83" customFormat="false" ht="15" hidden="false" customHeight="false" outlineLevel="0" collapsed="false">
      <c r="A83" s="22"/>
      <c r="B83" s="21"/>
      <c r="C83" s="21"/>
      <c r="D83" s="23"/>
      <c r="E83" s="24" t="str">
        <f aca="false">IF(B83="","",IFERROR(INDEX('Plan de Cuentas'!$C$5:$C$14,MATCH(B83,'Plan de Cuentas'!$B$5:$B$14,0)),"Cuenta no encontrada"))</f>
        <v/>
      </c>
    </row>
    <row r="84" customFormat="false" ht="15" hidden="false" customHeight="false" outlineLevel="0" collapsed="false">
      <c r="A84" s="22"/>
      <c r="B84" s="21"/>
      <c r="C84" s="21"/>
      <c r="D84" s="23"/>
      <c r="E84" s="24" t="str">
        <f aca="false">IF(B84="","",IFERROR(INDEX('Plan de Cuentas'!$C$5:$C$14,MATCH(B84,'Plan de Cuentas'!$B$5:$B$14,0)),"Cuenta no encontrada"))</f>
        <v/>
      </c>
    </row>
    <row r="85" customFormat="false" ht="15" hidden="false" customHeight="false" outlineLevel="0" collapsed="false">
      <c r="A85" s="22"/>
      <c r="B85" s="21"/>
      <c r="C85" s="21"/>
      <c r="D85" s="23"/>
      <c r="E85" s="24" t="str">
        <f aca="false">IF(B85="","",IFERROR(INDEX('Plan de Cuentas'!$C$5:$C$14,MATCH(B85,'Plan de Cuentas'!$B$5:$B$14,0)),"Cuenta no encontrada"))</f>
        <v/>
      </c>
    </row>
    <row r="86" customFormat="false" ht="15" hidden="false" customHeight="false" outlineLevel="0" collapsed="false">
      <c r="A86" s="22"/>
      <c r="B86" s="21"/>
      <c r="C86" s="21"/>
      <c r="D86" s="23"/>
      <c r="E86" s="24" t="str">
        <f aca="false">IF(B86="","",IFERROR(INDEX('Plan de Cuentas'!$C$5:$C$14,MATCH(B86,'Plan de Cuentas'!$B$5:$B$14,0)),"Cuenta no encontrada"))</f>
        <v/>
      </c>
    </row>
    <row r="87" customFormat="false" ht="15" hidden="false" customHeight="false" outlineLevel="0" collapsed="false">
      <c r="A87" s="22"/>
      <c r="B87" s="21"/>
      <c r="C87" s="21"/>
      <c r="D87" s="23"/>
      <c r="E87" s="24" t="str">
        <f aca="false">IF(B87="","",IFERROR(INDEX('Plan de Cuentas'!$C$5:$C$14,MATCH(B87,'Plan de Cuentas'!$B$5:$B$14,0)),"Cuenta no encontrada"))</f>
        <v/>
      </c>
    </row>
    <row r="88" customFormat="false" ht="15" hidden="false" customHeight="false" outlineLevel="0" collapsed="false">
      <c r="A88" s="22"/>
      <c r="B88" s="21"/>
      <c r="C88" s="21"/>
      <c r="D88" s="23"/>
      <c r="E88" s="24" t="str">
        <f aca="false">IF(B88="","",IFERROR(INDEX('Plan de Cuentas'!$C$5:$C$14,MATCH(B88,'Plan de Cuentas'!$B$5:$B$14,0)),"Cuenta no encontrada"))</f>
        <v/>
      </c>
    </row>
    <row r="89" customFormat="false" ht="15" hidden="false" customHeight="false" outlineLevel="0" collapsed="false">
      <c r="A89" s="22"/>
      <c r="B89" s="21"/>
      <c r="C89" s="21"/>
      <c r="D89" s="23"/>
      <c r="E89" s="24" t="str">
        <f aca="false">IF(B89="","",IFERROR(INDEX('Plan de Cuentas'!$C$5:$C$14,MATCH(B89,'Plan de Cuentas'!$B$5:$B$14,0)),"Cuenta no encontrada"))</f>
        <v/>
      </c>
    </row>
    <row r="90" customFormat="false" ht="15" hidden="false" customHeight="false" outlineLevel="0" collapsed="false">
      <c r="A90" s="22"/>
      <c r="B90" s="21"/>
      <c r="C90" s="21"/>
      <c r="D90" s="23"/>
      <c r="E90" s="24" t="str">
        <f aca="false">IF(B90="","",IFERROR(INDEX('Plan de Cuentas'!$C$5:$C$14,MATCH(B90,'Plan de Cuentas'!$B$5:$B$14,0)),"Cuenta no encontrada"))</f>
        <v/>
      </c>
    </row>
    <row r="91" customFormat="false" ht="15" hidden="false" customHeight="false" outlineLevel="0" collapsed="false">
      <c r="A91" s="22"/>
      <c r="B91" s="21"/>
      <c r="C91" s="21"/>
      <c r="D91" s="23"/>
      <c r="E91" s="24" t="str">
        <f aca="false">IF(B91="","",IFERROR(INDEX('Plan de Cuentas'!$C$5:$C$14,MATCH(B91,'Plan de Cuentas'!$B$5:$B$14,0)),"Cuenta no encontrada"))</f>
        <v/>
      </c>
    </row>
    <row r="92" customFormat="false" ht="15" hidden="false" customHeight="false" outlineLevel="0" collapsed="false">
      <c r="A92" s="22"/>
      <c r="B92" s="21"/>
      <c r="C92" s="21"/>
      <c r="D92" s="23"/>
      <c r="E92" s="24" t="str">
        <f aca="false">IF(B92="","",IFERROR(INDEX('Plan de Cuentas'!$C$5:$C$14,MATCH(B92,'Plan de Cuentas'!$B$5:$B$14,0)),"Cuenta no encontrada"))</f>
        <v/>
      </c>
    </row>
    <row r="93" customFormat="false" ht="15" hidden="false" customHeight="false" outlineLevel="0" collapsed="false">
      <c r="A93" s="22"/>
      <c r="B93" s="21"/>
      <c r="C93" s="21"/>
      <c r="D93" s="23"/>
      <c r="E93" s="24" t="str">
        <f aca="false">IF(B93="","",IFERROR(INDEX('Plan de Cuentas'!$C$5:$C$14,MATCH(B93,'Plan de Cuentas'!$B$5:$B$14,0)),"Cuenta no encontrada"))</f>
        <v/>
      </c>
    </row>
    <row r="94" customFormat="false" ht="15" hidden="false" customHeight="false" outlineLevel="0" collapsed="false">
      <c r="A94" s="22"/>
      <c r="B94" s="21"/>
      <c r="C94" s="21"/>
      <c r="D94" s="23"/>
      <c r="E94" s="24" t="str">
        <f aca="false">IF(B94="","",IFERROR(INDEX('Plan de Cuentas'!$C$5:$C$14,MATCH(B94,'Plan de Cuentas'!$B$5:$B$14,0)),"Cuenta no encontrada"))</f>
        <v/>
      </c>
    </row>
    <row r="95" customFormat="false" ht="15" hidden="false" customHeight="false" outlineLevel="0" collapsed="false">
      <c r="A95" s="22"/>
      <c r="B95" s="21"/>
      <c r="C95" s="21"/>
      <c r="D95" s="23"/>
      <c r="E95" s="24" t="str">
        <f aca="false">IF(B95="","",IFERROR(INDEX('Plan de Cuentas'!$C$5:$C$14,MATCH(B95,'Plan de Cuentas'!$B$5:$B$14,0)),"Cuenta no encontrada"))</f>
        <v/>
      </c>
    </row>
    <row r="96" customFormat="false" ht="15" hidden="false" customHeight="false" outlineLevel="0" collapsed="false">
      <c r="A96" s="22"/>
      <c r="B96" s="21"/>
      <c r="C96" s="21"/>
      <c r="D96" s="23"/>
      <c r="E96" s="24" t="str">
        <f aca="false">IF(B96="","",IFERROR(INDEX('Plan de Cuentas'!$C$5:$C$14,MATCH(B96,'Plan de Cuentas'!$B$5:$B$14,0)),"Cuenta no encontrada"))</f>
        <v/>
      </c>
    </row>
    <row r="97" customFormat="false" ht="15" hidden="false" customHeight="false" outlineLevel="0" collapsed="false">
      <c r="A97" s="22"/>
      <c r="B97" s="21"/>
      <c r="C97" s="21"/>
      <c r="D97" s="23"/>
      <c r="E97" s="24" t="str">
        <f aca="false">IF(B97="","",IFERROR(INDEX('Plan de Cuentas'!$C$5:$C$14,MATCH(B97,'Plan de Cuentas'!$B$5:$B$14,0)),"Cuenta no encontrada"))</f>
        <v/>
      </c>
    </row>
    <row r="98" customFormat="false" ht="15" hidden="false" customHeight="false" outlineLevel="0" collapsed="false">
      <c r="A98" s="22"/>
      <c r="B98" s="21"/>
      <c r="C98" s="21"/>
      <c r="D98" s="23"/>
      <c r="E98" s="24" t="str">
        <f aca="false">IF(B98="","",IFERROR(INDEX('Plan de Cuentas'!$C$5:$C$14,MATCH(B98,'Plan de Cuentas'!$B$5:$B$14,0)),"Cuenta no encontrada"))</f>
        <v/>
      </c>
    </row>
    <row r="99" customFormat="false" ht="15" hidden="false" customHeight="false" outlineLevel="0" collapsed="false">
      <c r="A99" s="22"/>
      <c r="B99" s="21"/>
      <c r="C99" s="21"/>
      <c r="D99" s="23"/>
      <c r="E99" s="24" t="str">
        <f aca="false">IF(B99="","",IFERROR(INDEX('Plan de Cuentas'!$C$5:$C$14,MATCH(B99,'Plan de Cuentas'!$B$5:$B$14,0)),"Cuenta no encontrada"))</f>
        <v/>
      </c>
    </row>
    <row r="100" customFormat="false" ht="15" hidden="false" customHeight="false" outlineLevel="0" collapsed="false">
      <c r="A100" s="22"/>
      <c r="B100" s="21"/>
      <c r="C100" s="21"/>
      <c r="D100" s="23"/>
      <c r="E100" s="24" t="str">
        <f aca="false">IF(B100="","",IFERROR(INDEX('Plan de Cuentas'!$C$5:$C$14,MATCH(B100,'Plan de Cuentas'!$B$5:$B$14,0)),"Cuenta no encontrada"))</f>
        <v/>
      </c>
    </row>
    <row r="101" customFormat="false" ht="15" hidden="false" customHeight="false" outlineLevel="0" collapsed="false">
      <c r="A101" s="22"/>
      <c r="B101" s="21"/>
      <c r="C101" s="21"/>
      <c r="D101" s="23"/>
      <c r="E101" s="24" t="str">
        <f aca="false">IF(B101="","",IFERROR(INDEX('Plan de Cuentas'!$C$5:$C$14,MATCH(B101,'Plan de Cuentas'!$B$5:$B$14,0)),"Cuenta no encontrada"))</f>
        <v/>
      </c>
    </row>
    <row r="102" customFormat="false" ht="15" hidden="false" customHeight="false" outlineLevel="0" collapsed="false">
      <c r="A102" s="22"/>
      <c r="B102" s="21"/>
      <c r="C102" s="21"/>
      <c r="D102" s="23"/>
      <c r="E102" s="24" t="str">
        <f aca="false">IF(B102="","",IFERROR(INDEX('Plan de Cuentas'!$C$5:$C$14,MATCH(B102,'Plan de Cuentas'!$B$5:$B$14,0)),"Cuenta no encontrada"))</f>
        <v/>
      </c>
    </row>
    <row r="103" customFormat="false" ht="15" hidden="false" customHeight="false" outlineLevel="0" collapsed="false">
      <c r="A103" s="22"/>
      <c r="B103" s="21"/>
      <c r="C103" s="21"/>
      <c r="D103" s="23"/>
      <c r="E103" s="24" t="str">
        <f aca="false">IF(B103="","",IFERROR(INDEX('Plan de Cuentas'!$C$5:$C$14,MATCH(B103,'Plan de Cuentas'!$B$5:$B$14,0)),"Cuenta no encontrada"))</f>
        <v/>
      </c>
    </row>
    <row r="104" customFormat="false" ht="15" hidden="false" customHeight="false" outlineLevel="0" collapsed="false">
      <c r="A104" s="22"/>
      <c r="B104" s="21"/>
      <c r="C104" s="21"/>
      <c r="D104" s="23"/>
      <c r="E104" s="24" t="str">
        <f aca="false">IF(B104="","",IFERROR(INDEX('Plan de Cuentas'!$C$5:$C$14,MATCH(B104,'Plan de Cuentas'!$B$5:$B$14,0)),"Cuenta no encontrada"))</f>
        <v/>
      </c>
    </row>
    <row r="105" customFormat="false" ht="15" hidden="false" customHeight="false" outlineLevel="0" collapsed="false">
      <c r="A105" s="22"/>
      <c r="B105" s="21"/>
      <c r="C105" s="21"/>
      <c r="D105" s="23"/>
      <c r="E105" s="24" t="str">
        <f aca="false">IF(B105="","",IFERROR(INDEX('Plan de Cuentas'!$C$5:$C$14,MATCH(B105,'Plan de Cuentas'!$B$5:$B$14,0)),"Cuenta no encontrada"))</f>
        <v/>
      </c>
    </row>
    <row r="106" customFormat="false" ht="15" hidden="false" customHeight="false" outlineLevel="0" collapsed="false">
      <c r="A106" s="22"/>
      <c r="B106" s="21"/>
      <c r="C106" s="21"/>
      <c r="D106" s="23"/>
      <c r="E106" s="24" t="str">
        <f aca="false">IF(B106="","",IFERROR(INDEX('Plan de Cuentas'!$C$5:$C$14,MATCH(B106,'Plan de Cuentas'!$B$5:$B$14,0)),"Cuenta no encontrada"))</f>
        <v/>
      </c>
    </row>
    <row r="107" customFormat="false" ht="15" hidden="false" customHeight="false" outlineLevel="0" collapsed="false">
      <c r="A107" s="22"/>
      <c r="B107" s="21"/>
      <c r="C107" s="21"/>
      <c r="D107" s="23"/>
      <c r="E107" s="24" t="str">
        <f aca="false">IF(B107="","",IFERROR(INDEX('Plan de Cuentas'!$C$5:$C$14,MATCH(B107,'Plan de Cuentas'!$B$5:$B$14,0)),"Cuenta no encontrada"))</f>
        <v/>
      </c>
    </row>
    <row r="108" customFormat="false" ht="15" hidden="false" customHeight="false" outlineLevel="0" collapsed="false">
      <c r="A108" s="22"/>
      <c r="B108" s="21"/>
      <c r="C108" s="21"/>
      <c r="D108" s="23"/>
      <c r="E108" s="24" t="str">
        <f aca="false">IF(B108="","",IFERROR(INDEX('Plan de Cuentas'!$C$5:$C$14,MATCH(B108,'Plan de Cuentas'!$B$5:$B$14,0)),"Cuenta no encontrada"))</f>
        <v/>
      </c>
    </row>
    <row r="109" customFormat="false" ht="15" hidden="false" customHeight="false" outlineLevel="0" collapsed="false">
      <c r="A109" s="22"/>
      <c r="B109" s="21"/>
      <c r="C109" s="21"/>
      <c r="D109" s="23"/>
      <c r="E109" s="24" t="str">
        <f aca="false">IF(B109="","",IFERROR(INDEX('Plan de Cuentas'!$C$5:$C$14,MATCH(B109,'Plan de Cuentas'!$B$5:$B$14,0)),"Cuenta no encontrada"))</f>
        <v/>
      </c>
    </row>
    <row r="110" customFormat="false" ht="15" hidden="false" customHeight="false" outlineLevel="0" collapsed="false">
      <c r="A110" s="22"/>
      <c r="B110" s="21"/>
      <c r="C110" s="21"/>
      <c r="D110" s="23"/>
      <c r="E110" s="24" t="str">
        <f aca="false">IF(B110="","",IFERROR(INDEX('Plan de Cuentas'!$C$5:$C$14,MATCH(B110,'Plan de Cuentas'!$B$5:$B$14,0)),"Cuenta no encontrada"))</f>
        <v/>
      </c>
    </row>
    <row r="111" customFormat="false" ht="15" hidden="false" customHeight="false" outlineLevel="0" collapsed="false">
      <c r="A111" s="22"/>
      <c r="B111" s="21"/>
      <c r="C111" s="21"/>
      <c r="D111" s="23"/>
      <c r="E111" s="24" t="str">
        <f aca="false">IF(B111="","",IFERROR(INDEX('Plan de Cuentas'!$C$5:$C$14,MATCH(B111,'Plan de Cuentas'!$B$5:$B$14,0)),"Cuenta no encontrada"))</f>
        <v/>
      </c>
    </row>
    <row r="112" customFormat="false" ht="15" hidden="false" customHeight="false" outlineLevel="0" collapsed="false">
      <c r="A112" s="22"/>
      <c r="B112" s="21"/>
      <c r="C112" s="21"/>
      <c r="D112" s="23"/>
      <c r="E112" s="24" t="str">
        <f aca="false">IF(B112="","",IFERROR(INDEX('Plan de Cuentas'!$C$5:$C$14,MATCH(B112,'Plan de Cuentas'!$B$5:$B$14,0)),"Cuenta no encontrada"))</f>
        <v/>
      </c>
    </row>
    <row r="113" customFormat="false" ht="15" hidden="false" customHeight="false" outlineLevel="0" collapsed="false">
      <c r="A113" s="22"/>
      <c r="B113" s="21"/>
      <c r="C113" s="21"/>
      <c r="D113" s="23"/>
      <c r="E113" s="24" t="str">
        <f aca="false">IF(B113="","",IFERROR(INDEX('Plan de Cuentas'!$C$5:$C$14,MATCH(B113,'Plan de Cuentas'!$B$5:$B$14,0)),"Cuenta no encontrada"))</f>
        <v/>
      </c>
    </row>
    <row r="114" customFormat="false" ht="15" hidden="false" customHeight="false" outlineLevel="0" collapsed="false">
      <c r="A114" s="22"/>
      <c r="B114" s="21"/>
      <c r="C114" s="21"/>
      <c r="D114" s="23"/>
      <c r="E114" s="24" t="str">
        <f aca="false">IF(B114="","",IFERROR(INDEX('Plan de Cuentas'!$C$5:$C$14,MATCH(B114,'Plan de Cuentas'!$B$5:$B$14,0)),"Cuenta no encontrada"))</f>
        <v/>
      </c>
    </row>
    <row r="115" customFormat="false" ht="15" hidden="false" customHeight="false" outlineLevel="0" collapsed="false">
      <c r="A115" s="22"/>
      <c r="B115" s="21"/>
      <c r="C115" s="21"/>
      <c r="D115" s="23"/>
      <c r="E115" s="24" t="str">
        <f aca="false">IF(B115="","",IFERROR(INDEX('Plan de Cuentas'!$C$5:$C$14,MATCH(B115,'Plan de Cuentas'!$B$5:$B$14,0)),"Cuenta no encontrada"))</f>
        <v/>
      </c>
    </row>
    <row r="116" customFormat="false" ht="15" hidden="false" customHeight="false" outlineLevel="0" collapsed="false">
      <c r="A116" s="22"/>
      <c r="B116" s="21"/>
      <c r="C116" s="21"/>
      <c r="D116" s="23"/>
      <c r="E116" s="24" t="str">
        <f aca="false">IF(B116="","",IFERROR(INDEX('Plan de Cuentas'!$C$5:$C$14,MATCH(B116,'Plan de Cuentas'!$B$5:$B$14,0)),"Cuenta no encontrada"))</f>
        <v/>
      </c>
    </row>
    <row r="117" customFormat="false" ht="15" hidden="false" customHeight="false" outlineLevel="0" collapsed="false">
      <c r="A117" s="22"/>
      <c r="B117" s="21"/>
      <c r="C117" s="21"/>
      <c r="D117" s="23"/>
      <c r="E117" s="24" t="str">
        <f aca="false">IF(B117="","",IFERROR(INDEX('Plan de Cuentas'!$C$5:$C$14,MATCH(B117,'Plan de Cuentas'!$B$5:$B$14,0)),"Cuenta no encontrada"))</f>
        <v/>
      </c>
    </row>
    <row r="118" customFormat="false" ht="15" hidden="false" customHeight="false" outlineLevel="0" collapsed="false">
      <c r="A118" s="22"/>
      <c r="B118" s="21"/>
      <c r="C118" s="21"/>
      <c r="D118" s="23"/>
      <c r="E118" s="24" t="str">
        <f aca="false">IF(B118="","",IFERROR(INDEX('Plan de Cuentas'!$C$5:$C$14,MATCH(B118,'Plan de Cuentas'!$B$5:$B$14,0)),"Cuenta no encontrada"))</f>
        <v/>
      </c>
    </row>
    <row r="119" customFormat="false" ht="15" hidden="false" customHeight="false" outlineLevel="0" collapsed="false">
      <c r="A119" s="22"/>
      <c r="B119" s="21"/>
      <c r="C119" s="21"/>
      <c r="D119" s="23"/>
      <c r="E119" s="24" t="str">
        <f aca="false">IF(B119="","",IFERROR(INDEX('Plan de Cuentas'!$C$5:$C$14,MATCH(B119,'Plan de Cuentas'!$B$5:$B$14,0)),"Cuenta no encontrada"))</f>
        <v/>
      </c>
    </row>
    <row r="120" customFormat="false" ht="15" hidden="false" customHeight="false" outlineLevel="0" collapsed="false">
      <c r="A120" s="22"/>
      <c r="B120" s="21"/>
      <c r="C120" s="21"/>
      <c r="D120" s="23"/>
      <c r="E120" s="24" t="str">
        <f aca="false">IF(B120="","",IFERROR(INDEX('Plan de Cuentas'!$C$5:$C$14,MATCH(B120,'Plan de Cuentas'!$B$5:$B$14,0)),"Cuenta no encontrada"))</f>
        <v/>
      </c>
    </row>
    <row r="121" customFormat="false" ht="15" hidden="false" customHeight="false" outlineLevel="0" collapsed="false">
      <c r="A121" s="22"/>
      <c r="B121" s="21"/>
      <c r="C121" s="21"/>
      <c r="D121" s="23"/>
      <c r="E121" s="24" t="str">
        <f aca="false">IF(B121="","",IFERROR(INDEX('Plan de Cuentas'!$C$5:$C$14,MATCH(B121,'Plan de Cuentas'!$B$5:$B$14,0)),"Cuenta no encontrada"))</f>
        <v/>
      </c>
    </row>
    <row r="122" customFormat="false" ht="15" hidden="false" customHeight="false" outlineLevel="0" collapsed="false">
      <c r="A122" s="22"/>
      <c r="B122" s="21"/>
      <c r="C122" s="21"/>
      <c r="D122" s="23"/>
      <c r="E122" s="24" t="str">
        <f aca="false">IF(B122="","",IFERROR(INDEX('Plan de Cuentas'!$C$5:$C$14,MATCH(B122,'Plan de Cuentas'!$B$5:$B$14,0)),"Cuenta no encontrada"))</f>
        <v/>
      </c>
    </row>
    <row r="123" customFormat="false" ht="15" hidden="false" customHeight="false" outlineLevel="0" collapsed="false">
      <c r="A123" s="22"/>
      <c r="B123" s="21"/>
      <c r="C123" s="21"/>
      <c r="D123" s="23"/>
      <c r="E123" s="24" t="str">
        <f aca="false">IF(B123="","",IFERROR(INDEX('Plan de Cuentas'!$C$5:$C$14,MATCH(B123,'Plan de Cuentas'!$B$5:$B$14,0)),"Cuenta no encontrada"))</f>
        <v/>
      </c>
    </row>
    <row r="124" customFormat="false" ht="15" hidden="false" customHeight="false" outlineLevel="0" collapsed="false">
      <c r="A124" s="22"/>
      <c r="B124" s="21"/>
      <c r="C124" s="21"/>
      <c r="D124" s="23"/>
      <c r="E124" s="24" t="str">
        <f aca="false">IF(B124="","",IFERROR(INDEX('Plan de Cuentas'!$C$5:$C$14,MATCH(B124,'Plan de Cuentas'!$B$5:$B$14,0)),"Cuenta no encontrada"))</f>
        <v/>
      </c>
    </row>
    <row r="125" customFormat="false" ht="15" hidden="false" customHeight="false" outlineLevel="0" collapsed="false">
      <c r="A125" s="22"/>
      <c r="B125" s="21"/>
      <c r="C125" s="21"/>
      <c r="D125" s="23"/>
      <c r="E125" s="24" t="str">
        <f aca="false">IF(B125="","",IFERROR(INDEX('Plan de Cuentas'!$C$5:$C$14,MATCH(B125,'Plan de Cuentas'!$B$5:$B$14,0)),"Cuenta no encontrada"))</f>
        <v/>
      </c>
    </row>
    <row r="126" customFormat="false" ht="15" hidden="false" customHeight="false" outlineLevel="0" collapsed="false">
      <c r="A126" s="22"/>
      <c r="B126" s="21"/>
      <c r="C126" s="21"/>
      <c r="D126" s="23"/>
      <c r="E126" s="24" t="str">
        <f aca="false">IF(B126="","",IFERROR(INDEX('Plan de Cuentas'!$C$5:$C$14,MATCH(B126,'Plan de Cuentas'!$B$5:$B$14,0)),"Cuenta no encontrada"))</f>
        <v/>
      </c>
    </row>
    <row r="127" customFormat="false" ht="15" hidden="false" customHeight="false" outlineLevel="0" collapsed="false">
      <c r="A127" s="22"/>
      <c r="B127" s="21"/>
      <c r="C127" s="21"/>
      <c r="D127" s="23"/>
      <c r="E127" s="24" t="str">
        <f aca="false">IF(B127="","",IFERROR(INDEX('Plan de Cuentas'!$C$5:$C$14,MATCH(B127,'Plan de Cuentas'!$B$5:$B$14,0)),"Cuenta no encontrada"))</f>
        <v/>
      </c>
    </row>
    <row r="128" customFormat="false" ht="15" hidden="false" customHeight="false" outlineLevel="0" collapsed="false">
      <c r="A128" s="22"/>
      <c r="B128" s="21"/>
      <c r="C128" s="21"/>
      <c r="D128" s="23"/>
      <c r="E128" s="24" t="str">
        <f aca="false">IF(B128="","",IFERROR(INDEX('Plan de Cuentas'!$C$5:$C$14,MATCH(B128,'Plan de Cuentas'!$B$5:$B$14,0)),"Cuenta no encontrada"))</f>
        <v/>
      </c>
    </row>
    <row r="129" customFormat="false" ht="15" hidden="false" customHeight="false" outlineLevel="0" collapsed="false">
      <c r="A129" s="22"/>
      <c r="B129" s="21"/>
      <c r="C129" s="21"/>
      <c r="D129" s="23"/>
      <c r="E129" s="24" t="str">
        <f aca="false">IF(B129="","",IFERROR(INDEX('Plan de Cuentas'!$C$5:$C$14,MATCH(B129,'Plan de Cuentas'!$B$5:$B$14,0)),"Cuenta no encontrada"))</f>
        <v/>
      </c>
    </row>
    <row r="130" customFormat="false" ht="15" hidden="false" customHeight="false" outlineLevel="0" collapsed="false">
      <c r="A130" s="22"/>
      <c r="B130" s="21"/>
      <c r="C130" s="21"/>
      <c r="D130" s="23"/>
      <c r="E130" s="24" t="str">
        <f aca="false">IF(B130="","",IFERROR(INDEX('Plan de Cuentas'!$C$5:$C$14,MATCH(B130,'Plan de Cuentas'!$B$5:$B$14,0)),"Cuenta no encontrada"))</f>
        <v/>
      </c>
    </row>
    <row r="131" customFormat="false" ht="15" hidden="false" customHeight="false" outlineLevel="0" collapsed="false">
      <c r="A131" s="22"/>
      <c r="B131" s="21"/>
      <c r="C131" s="21"/>
      <c r="D131" s="23"/>
      <c r="E131" s="24" t="str">
        <f aca="false">IF(B131="","",IFERROR(INDEX('Plan de Cuentas'!$C$5:$C$14,MATCH(B131,'Plan de Cuentas'!$B$5:$B$14,0)),"Cuenta no encontrada"))</f>
        <v/>
      </c>
    </row>
    <row r="132" customFormat="false" ht="15" hidden="false" customHeight="false" outlineLevel="0" collapsed="false">
      <c r="A132" s="22"/>
      <c r="B132" s="21"/>
      <c r="C132" s="21"/>
      <c r="D132" s="23"/>
      <c r="E132" s="24" t="str">
        <f aca="false">IF(B132="","",IFERROR(INDEX('Plan de Cuentas'!$C$5:$C$14,MATCH(B132,'Plan de Cuentas'!$B$5:$B$14,0)),"Cuenta no encontrada"))</f>
        <v/>
      </c>
    </row>
    <row r="133" customFormat="false" ht="15" hidden="false" customHeight="false" outlineLevel="0" collapsed="false">
      <c r="A133" s="22"/>
      <c r="B133" s="21"/>
      <c r="C133" s="21"/>
      <c r="D133" s="23"/>
      <c r="E133" s="24" t="str">
        <f aca="false">IF(B133="","",IFERROR(INDEX('Plan de Cuentas'!$C$5:$C$14,MATCH(B133,'Plan de Cuentas'!$B$5:$B$14,0)),"Cuenta no encontrada"))</f>
        <v/>
      </c>
    </row>
    <row r="134" customFormat="false" ht="15" hidden="false" customHeight="false" outlineLevel="0" collapsed="false">
      <c r="A134" s="22"/>
      <c r="B134" s="21"/>
      <c r="C134" s="21"/>
      <c r="D134" s="23"/>
      <c r="E134" s="24" t="str">
        <f aca="false">IF(B134="","",IFERROR(INDEX('Plan de Cuentas'!$C$5:$C$14,MATCH(B134,'Plan de Cuentas'!$B$5:$B$14,0)),"Cuenta no encontrada"))</f>
        <v/>
      </c>
    </row>
    <row r="135" customFormat="false" ht="15" hidden="false" customHeight="false" outlineLevel="0" collapsed="false">
      <c r="A135" s="22"/>
      <c r="B135" s="21"/>
      <c r="C135" s="21"/>
      <c r="D135" s="23"/>
      <c r="E135" s="24" t="str">
        <f aca="false">IF(B135="","",IFERROR(INDEX('Plan de Cuentas'!$C$5:$C$14,MATCH(B135,'Plan de Cuentas'!$B$5:$B$14,0)),"Cuenta no encontrada"))</f>
        <v/>
      </c>
    </row>
    <row r="136" customFormat="false" ht="15" hidden="false" customHeight="false" outlineLevel="0" collapsed="false">
      <c r="A136" s="22"/>
      <c r="B136" s="21"/>
      <c r="C136" s="21"/>
      <c r="D136" s="23"/>
      <c r="E136" s="24" t="str">
        <f aca="false">IF(B136="","",IFERROR(INDEX('Plan de Cuentas'!$C$5:$C$14,MATCH(B136,'Plan de Cuentas'!$B$5:$B$14,0)),"Cuenta no encontrada"))</f>
        <v/>
      </c>
    </row>
    <row r="137" customFormat="false" ht="15" hidden="false" customHeight="false" outlineLevel="0" collapsed="false">
      <c r="A137" s="22"/>
      <c r="B137" s="21"/>
      <c r="C137" s="21"/>
      <c r="D137" s="23"/>
      <c r="E137" s="24" t="str">
        <f aca="false">IF(B137="","",IFERROR(INDEX('Plan de Cuentas'!$C$5:$C$14,MATCH(B137,'Plan de Cuentas'!$B$5:$B$14,0)),"Cuenta no encontrada"))</f>
        <v/>
      </c>
    </row>
    <row r="138" customFormat="false" ht="15" hidden="false" customHeight="false" outlineLevel="0" collapsed="false">
      <c r="A138" s="22"/>
      <c r="B138" s="21"/>
      <c r="C138" s="21"/>
      <c r="D138" s="23"/>
      <c r="E138" s="24" t="str">
        <f aca="false">IF(B138="","",IFERROR(INDEX('Plan de Cuentas'!$C$5:$C$14,MATCH(B138,'Plan de Cuentas'!$B$5:$B$14,0)),"Cuenta no encontrada"))</f>
        <v/>
      </c>
    </row>
    <row r="139" customFormat="false" ht="15" hidden="false" customHeight="false" outlineLevel="0" collapsed="false">
      <c r="A139" s="22"/>
      <c r="B139" s="21"/>
      <c r="C139" s="21"/>
      <c r="D139" s="23"/>
      <c r="E139" s="24" t="str">
        <f aca="false">IF(B139="","",IFERROR(INDEX('Plan de Cuentas'!$C$5:$C$14,MATCH(B139,'Plan de Cuentas'!$B$5:$B$14,0)),"Cuenta no encontrada"))</f>
        <v/>
      </c>
    </row>
    <row r="140" customFormat="false" ht="15" hidden="false" customHeight="false" outlineLevel="0" collapsed="false">
      <c r="A140" s="22"/>
      <c r="B140" s="21"/>
      <c r="C140" s="21"/>
      <c r="D140" s="23"/>
      <c r="E140" s="24" t="str">
        <f aca="false">IF(B140="","",IFERROR(INDEX('Plan de Cuentas'!$C$5:$C$14,MATCH(B140,'Plan de Cuentas'!$B$5:$B$14,0)),"Cuenta no encontrada"))</f>
        <v/>
      </c>
    </row>
    <row r="141" customFormat="false" ht="15" hidden="false" customHeight="false" outlineLevel="0" collapsed="false">
      <c r="A141" s="22"/>
      <c r="B141" s="21"/>
      <c r="C141" s="21"/>
      <c r="D141" s="23"/>
      <c r="E141" s="24" t="str">
        <f aca="false">IF(B141="","",IFERROR(INDEX('Plan de Cuentas'!$C$5:$C$14,MATCH(B141,'Plan de Cuentas'!$B$5:$B$14,0)),"Cuenta no encontrada"))</f>
        <v/>
      </c>
    </row>
    <row r="142" customFormat="false" ht="15" hidden="false" customHeight="false" outlineLevel="0" collapsed="false">
      <c r="A142" s="22"/>
      <c r="B142" s="21"/>
      <c r="C142" s="21"/>
      <c r="D142" s="23"/>
      <c r="E142" s="24" t="str">
        <f aca="false">IF(B142="","",IFERROR(INDEX('Plan de Cuentas'!$C$5:$C$14,MATCH(B142,'Plan de Cuentas'!$B$5:$B$14,0)),"Cuenta no encontrada"))</f>
        <v/>
      </c>
    </row>
    <row r="143" customFormat="false" ht="15" hidden="false" customHeight="false" outlineLevel="0" collapsed="false">
      <c r="A143" s="22"/>
      <c r="B143" s="21"/>
      <c r="C143" s="21"/>
      <c r="D143" s="23"/>
      <c r="E143" s="24" t="str">
        <f aca="false">IF(B143="","",IFERROR(INDEX('Plan de Cuentas'!$C$5:$C$14,MATCH(B143,'Plan de Cuentas'!$B$5:$B$14,0)),"Cuenta no encontrada"))</f>
        <v/>
      </c>
    </row>
    <row r="144" customFormat="false" ht="15" hidden="false" customHeight="false" outlineLevel="0" collapsed="false">
      <c r="A144" s="22"/>
      <c r="B144" s="21"/>
      <c r="C144" s="21"/>
      <c r="D144" s="23"/>
      <c r="E144" s="24" t="str">
        <f aca="false">IF(B144="","",IFERROR(INDEX('Plan de Cuentas'!$C$5:$C$14,MATCH(B144,'Plan de Cuentas'!$B$5:$B$14,0)),"Cuenta no encontrada"))</f>
        <v/>
      </c>
    </row>
    <row r="145" customFormat="false" ht="15" hidden="false" customHeight="false" outlineLevel="0" collapsed="false">
      <c r="A145" s="22"/>
      <c r="B145" s="21"/>
      <c r="C145" s="21"/>
      <c r="D145" s="23"/>
      <c r="E145" s="24" t="str">
        <f aca="false">IF(B145="","",IFERROR(INDEX('Plan de Cuentas'!$C$5:$C$14,MATCH(B145,'Plan de Cuentas'!$B$5:$B$14,0)),"Cuenta no encontrada"))</f>
        <v/>
      </c>
    </row>
    <row r="146" customFormat="false" ht="15" hidden="false" customHeight="false" outlineLevel="0" collapsed="false">
      <c r="A146" s="22"/>
      <c r="B146" s="21"/>
      <c r="C146" s="21"/>
      <c r="D146" s="23"/>
      <c r="E146" s="24" t="str">
        <f aca="false">IF(B146="","",IFERROR(INDEX('Plan de Cuentas'!$C$5:$C$14,MATCH(B146,'Plan de Cuentas'!$B$5:$B$14,0)),"Cuenta no encontrada"))</f>
        <v/>
      </c>
    </row>
    <row r="147" customFormat="false" ht="15" hidden="false" customHeight="false" outlineLevel="0" collapsed="false">
      <c r="A147" s="22"/>
      <c r="B147" s="21"/>
      <c r="C147" s="21"/>
      <c r="D147" s="23"/>
      <c r="E147" s="24" t="str">
        <f aca="false">IF(B147="","",IFERROR(INDEX('Plan de Cuentas'!$C$5:$C$14,MATCH(B147,'Plan de Cuentas'!$B$5:$B$14,0)),"Cuenta no encontrada"))</f>
        <v/>
      </c>
    </row>
    <row r="148" customFormat="false" ht="15" hidden="false" customHeight="false" outlineLevel="0" collapsed="false">
      <c r="A148" s="22"/>
      <c r="B148" s="21"/>
      <c r="C148" s="21"/>
      <c r="D148" s="23"/>
      <c r="E148" s="24" t="str">
        <f aca="false">IF(B148="","",IFERROR(INDEX('Plan de Cuentas'!$C$5:$C$14,MATCH(B148,'Plan de Cuentas'!$B$5:$B$14,0)),"Cuenta no encontrada"))</f>
        <v/>
      </c>
    </row>
    <row r="149" customFormat="false" ht="15" hidden="false" customHeight="false" outlineLevel="0" collapsed="false">
      <c r="A149" s="22"/>
      <c r="B149" s="21"/>
      <c r="C149" s="21"/>
      <c r="D149" s="23"/>
      <c r="E149" s="24" t="str">
        <f aca="false">IF(B149="","",IFERROR(INDEX('Plan de Cuentas'!$C$5:$C$14,MATCH(B149,'Plan de Cuentas'!$B$5:$B$14,0)),"Cuenta no encontrada"))</f>
        <v/>
      </c>
    </row>
    <row r="150" customFormat="false" ht="15" hidden="false" customHeight="false" outlineLevel="0" collapsed="false">
      <c r="A150" s="22"/>
      <c r="B150" s="21"/>
      <c r="C150" s="21"/>
      <c r="D150" s="23"/>
      <c r="E150" s="24" t="str">
        <f aca="false">IF(B150="","",IFERROR(INDEX('Plan de Cuentas'!$C$5:$C$14,MATCH(B150,'Plan de Cuentas'!$B$5:$B$14,0)),"Cuenta no encontrada"))</f>
        <v/>
      </c>
    </row>
    <row r="151" customFormat="false" ht="15" hidden="false" customHeight="false" outlineLevel="0" collapsed="false">
      <c r="A151" s="22"/>
      <c r="B151" s="21"/>
      <c r="C151" s="21"/>
      <c r="D151" s="23"/>
      <c r="E151" s="24" t="str">
        <f aca="false">IF(B151="","",IFERROR(INDEX('Plan de Cuentas'!$C$5:$C$14,MATCH(B151,'Plan de Cuentas'!$B$5:$B$14,0)),"Cuenta no encontrada"))</f>
        <v/>
      </c>
    </row>
    <row r="152" customFormat="false" ht="15" hidden="false" customHeight="false" outlineLevel="0" collapsed="false">
      <c r="A152" s="22"/>
      <c r="B152" s="21"/>
      <c r="C152" s="21"/>
      <c r="D152" s="23"/>
      <c r="E152" s="24" t="str">
        <f aca="false">IF(B152="","",IFERROR(INDEX('Plan de Cuentas'!$C$5:$C$14,MATCH(B152,'Plan de Cuentas'!$B$5:$B$14,0)),"Cuenta no encontrada"))</f>
        <v/>
      </c>
    </row>
    <row r="153" customFormat="false" ht="15" hidden="false" customHeight="false" outlineLevel="0" collapsed="false">
      <c r="A153" s="22"/>
      <c r="B153" s="21"/>
      <c r="C153" s="21"/>
      <c r="D153" s="23"/>
      <c r="E153" s="24" t="str">
        <f aca="false">IF(B153="","",IFERROR(INDEX('Plan de Cuentas'!$C$5:$C$14,MATCH(B153,'Plan de Cuentas'!$B$5:$B$14,0)),"Cuenta no encontrada"))</f>
        <v/>
      </c>
    </row>
    <row r="154" customFormat="false" ht="15" hidden="false" customHeight="false" outlineLevel="0" collapsed="false">
      <c r="A154" s="22"/>
      <c r="B154" s="21"/>
      <c r="C154" s="21"/>
      <c r="D154" s="23"/>
      <c r="E154" s="24" t="str">
        <f aca="false">IF(B154="","",IFERROR(INDEX('Plan de Cuentas'!$C$5:$C$14,MATCH(B154,'Plan de Cuentas'!$B$5:$B$14,0)),"Cuenta no encontrada"))</f>
        <v/>
      </c>
    </row>
    <row r="155" customFormat="false" ht="15" hidden="false" customHeight="false" outlineLevel="0" collapsed="false">
      <c r="A155" s="22"/>
      <c r="B155" s="21"/>
      <c r="C155" s="21"/>
      <c r="D155" s="23"/>
      <c r="E155" s="24" t="str">
        <f aca="false">IF(B155="","",IFERROR(INDEX('Plan de Cuentas'!$C$5:$C$14,MATCH(B155,'Plan de Cuentas'!$B$5:$B$14,0)),"Cuenta no encontrada"))</f>
        <v/>
      </c>
    </row>
    <row r="156" customFormat="false" ht="15" hidden="false" customHeight="false" outlineLevel="0" collapsed="false">
      <c r="A156" s="22"/>
      <c r="B156" s="21"/>
      <c r="C156" s="21"/>
      <c r="D156" s="23"/>
      <c r="E156" s="24" t="str">
        <f aca="false">IF(B156="","",IFERROR(INDEX('Plan de Cuentas'!$C$5:$C$14,MATCH(B156,'Plan de Cuentas'!$B$5:$B$14,0)),"Cuenta no encontrada"))</f>
        <v/>
      </c>
    </row>
    <row r="157" customFormat="false" ht="15" hidden="false" customHeight="false" outlineLevel="0" collapsed="false">
      <c r="A157" s="22"/>
      <c r="B157" s="21"/>
      <c r="C157" s="21"/>
      <c r="D157" s="23"/>
      <c r="E157" s="24" t="str">
        <f aca="false">IF(B157="","",IFERROR(INDEX('Plan de Cuentas'!$C$5:$C$14,MATCH(B157,'Plan de Cuentas'!$B$5:$B$14,0)),"Cuenta no encontrada"))</f>
        <v/>
      </c>
    </row>
    <row r="158" customFormat="false" ht="15" hidden="false" customHeight="false" outlineLevel="0" collapsed="false">
      <c r="A158" s="22"/>
      <c r="B158" s="21"/>
      <c r="C158" s="21"/>
      <c r="D158" s="23"/>
      <c r="E158" s="24" t="str">
        <f aca="false">IF(B158="","",IFERROR(INDEX('Plan de Cuentas'!$C$5:$C$14,MATCH(B158,'Plan de Cuentas'!$B$5:$B$14,0)),"Cuenta no encontrada"))</f>
        <v/>
      </c>
    </row>
    <row r="159" customFormat="false" ht="15" hidden="false" customHeight="false" outlineLevel="0" collapsed="false">
      <c r="A159" s="22"/>
      <c r="B159" s="21"/>
      <c r="C159" s="21"/>
      <c r="D159" s="23"/>
      <c r="E159" s="24" t="str">
        <f aca="false">IF(B159="","",IFERROR(INDEX('Plan de Cuentas'!$C$5:$C$14,MATCH(B159,'Plan de Cuentas'!$B$5:$B$14,0)),"Cuenta no encontrada"))</f>
        <v/>
      </c>
    </row>
    <row r="160" customFormat="false" ht="15" hidden="false" customHeight="false" outlineLevel="0" collapsed="false">
      <c r="A160" s="22"/>
      <c r="B160" s="21"/>
      <c r="C160" s="21"/>
      <c r="D160" s="23"/>
      <c r="E160" s="24" t="str">
        <f aca="false">IF(B160="","",IFERROR(INDEX('Plan de Cuentas'!$C$5:$C$14,MATCH(B160,'Plan de Cuentas'!$B$5:$B$14,0)),"Cuenta no encontrada"))</f>
        <v/>
      </c>
    </row>
    <row r="161" customFormat="false" ht="15" hidden="false" customHeight="false" outlineLevel="0" collapsed="false">
      <c r="A161" s="22"/>
      <c r="B161" s="21"/>
      <c r="C161" s="21"/>
      <c r="D161" s="23"/>
      <c r="E161" s="24" t="str">
        <f aca="false">IF(B161="","",IFERROR(INDEX('Plan de Cuentas'!$C$5:$C$14,MATCH(B161,'Plan de Cuentas'!$B$5:$B$14,0)),"Cuenta no encontrada"))</f>
        <v/>
      </c>
    </row>
    <row r="162" customFormat="false" ht="15" hidden="false" customHeight="false" outlineLevel="0" collapsed="false">
      <c r="A162" s="22"/>
      <c r="B162" s="21"/>
      <c r="C162" s="21"/>
      <c r="D162" s="23"/>
      <c r="E162" s="24" t="str">
        <f aca="false">IF(B162="","",IFERROR(INDEX('Plan de Cuentas'!$C$5:$C$14,MATCH(B162,'Plan de Cuentas'!$B$5:$B$14,0)),"Cuenta no encontrada"))</f>
        <v/>
      </c>
    </row>
    <row r="163" customFormat="false" ht="15" hidden="false" customHeight="false" outlineLevel="0" collapsed="false">
      <c r="A163" s="22"/>
      <c r="B163" s="21"/>
      <c r="C163" s="21"/>
      <c r="D163" s="23"/>
      <c r="E163" s="24" t="str">
        <f aca="false">IF(B163="","",IFERROR(INDEX('Plan de Cuentas'!$C$5:$C$14,MATCH(B163,'Plan de Cuentas'!$B$5:$B$14,0)),"Cuenta no encontrada"))</f>
        <v/>
      </c>
    </row>
    <row r="164" customFormat="false" ht="15" hidden="false" customHeight="false" outlineLevel="0" collapsed="false">
      <c r="A164" s="22"/>
      <c r="B164" s="21"/>
      <c r="C164" s="21"/>
      <c r="D164" s="23"/>
      <c r="E164" s="24" t="str">
        <f aca="false">IF(B164="","",IFERROR(INDEX('Plan de Cuentas'!$C$5:$C$14,MATCH(B164,'Plan de Cuentas'!$B$5:$B$14,0)),"Cuenta no encontrada"))</f>
        <v/>
      </c>
    </row>
    <row r="165" customFormat="false" ht="15" hidden="false" customHeight="false" outlineLevel="0" collapsed="false">
      <c r="A165" s="22"/>
      <c r="B165" s="21"/>
      <c r="C165" s="21"/>
      <c r="D165" s="23"/>
      <c r="E165" s="24" t="str">
        <f aca="false">IF(B165="","",IFERROR(INDEX('Plan de Cuentas'!$C$5:$C$14,MATCH(B165,'Plan de Cuentas'!$B$5:$B$14,0)),"Cuenta no encontrada"))</f>
        <v/>
      </c>
    </row>
    <row r="166" customFormat="false" ht="15" hidden="false" customHeight="false" outlineLevel="0" collapsed="false">
      <c r="A166" s="22"/>
      <c r="B166" s="21"/>
      <c r="C166" s="21"/>
      <c r="D166" s="23"/>
      <c r="E166" s="24" t="str">
        <f aca="false">IF(B166="","",IFERROR(INDEX('Plan de Cuentas'!$C$5:$C$14,MATCH(B166,'Plan de Cuentas'!$B$5:$B$14,0)),"Cuenta no encontrada"))</f>
        <v/>
      </c>
    </row>
    <row r="167" customFormat="false" ht="15" hidden="false" customHeight="false" outlineLevel="0" collapsed="false">
      <c r="A167" s="22"/>
      <c r="B167" s="21"/>
      <c r="C167" s="21"/>
      <c r="D167" s="23"/>
      <c r="E167" s="24" t="str">
        <f aca="false">IF(B167="","",IFERROR(INDEX('Plan de Cuentas'!$C$5:$C$14,MATCH(B167,'Plan de Cuentas'!$B$5:$B$14,0)),"Cuenta no encontrada"))</f>
        <v/>
      </c>
    </row>
    <row r="168" customFormat="false" ht="15" hidden="false" customHeight="false" outlineLevel="0" collapsed="false">
      <c r="A168" s="22"/>
      <c r="B168" s="21"/>
      <c r="C168" s="21"/>
      <c r="D168" s="23"/>
      <c r="E168" s="24" t="str">
        <f aca="false">IF(B168="","",IFERROR(INDEX('Plan de Cuentas'!$C$5:$C$14,MATCH(B168,'Plan de Cuentas'!$B$5:$B$14,0)),"Cuenta no encontrada"))</f>
        <v/>
      </c>
    </row>
    <row r="169" customFormat="false" ht="15" hidden="false" customHeight="false" outlineLevel="0" collapsed="false">
      <c r="A169" s="22"/>
      <c r="B169" s="21"/>
      <c r="C169" s="21"/>
      <c r="D169" s="23"/>
      <c r="E169" s="24" t="str">
        <f aca="false">IF(B169="","",IFERROR(INDEX('Plan de Cuentas'!$C$5:$C$14,MATCH(B169,'Plan de Cuentas'!$B$5:$B$14,0)),"Cuenta no encontrada"))</f>
        <v/>
      </c>
    </row>
    <row r="170" customFormat="false" ht="15" hidden="false" customHeight="false" outlineLevel="0" collapsed="false">
      <c r="A170" s="22"/>
      <c r="B170" s="21"/>
      <c r="C170" s="21"/>
      <c r="D170" s="23"/>
      <c r="E170" s="24" t="str">
        <f aca="false">IF(B170="","",IFERROR(INDEX('Plan de Cuentas'!$C$5:$C$14,MATCH(B170,'Plan de Cuentas'!$B$5:$B$14,0)),"Cuenta no encontrada"))</f>
        <v/>
      </c>
    </row>
    <row r="171" customFormat="false" ht="15" hidden="false" customHeight="false" outlineLevel="0" collapsed="false">
      <c r="A171" s="22"/>
      <c r="B171" s="21"/>
      <c r="C171" s="21"/>
      <c r="D171" s="23"/>
      <c r="E171" s="24" t="str">
        <f aca="false">IF(B171="","",IFERROR(INDEX('Plan de Cuentas'!$C$5:$C$14,MATCH(B171,'Plan de Cuentas'!$B$5:$B$14,0)),"Cuenta no encontrada"))</f>
        <v/>
      </c>
    </row>
    <row r="172" customFormat="false" ht="15" hidden="false" customHeight="false" outlineLevel="0" collapsed="false">
      <c r="A172" s="22"/>
      <c r="B172" s="21"/>
      <c r="C172" s="21"/>
      <c r="D172" s="23"/>
      <c r="E172" s="24" t="str">
        <f aca="false">IF(B172="","",IFERROR(INDEX('Plan de Cuentas'!$C$5:$C$14,MATCH(B172,'Plan de Cuentas'!$B$5:$B$14,0)),"Cuenta no encontrada"))</f>
        <v/>
      </c>
    </row>
    <row r="173" customFormat="false" ht="15" hidden="false" customHeight="false" outlineLevel="0" collapsed="false">
      <c r="A173" s="22"/>
      <c r="B173" s="21"/>
      <c r="C173" s="21"/>
      <c r="D173" s="23"/>
      <c r="E173" s="24" t="str">
        <f aca="false">IF(B173="","",IFERROR(INDEX('Plan de Cuentas'!$C$5:$C$14,MATCH(B173,'Plan de Cuentas'!$B$5:$B$14,0)),"Cuenta no encontrada"))</f>
        <v/>
      </c>
    </row>
    <row r="174" customFormat="false" ht="15" hidden="false" customHeight="false" outlineLevel="0" collapsed="false">
      <c r="A174" s="22"/>
      <c r="B174" s="21"/>
      <c r="C174" s="21"/>
      <c r="D174" s="23"/>
      <c r="E174" s="24" t="str">
        <f aca="false">IF(B174="","",IFERROR(INDEX('Plan de Cuentas'!$C$5:$C$14,MATCH(B174,'Plan de Cuentas'!$B$5:$B$14,0)),"Cuenta no encontrada"))</f>
        <v/>
      </c>
    </row>
    <row r="175" customFormat="false" ht="15" hidden="false" customHeight="false" outlineLevel="0" collapsed="false">
      <c r="A175" s="22"/>
      <c r="B175" s="21"/>
      <c r="C175" s="21"/>
      <c r="D175" s="23"/>
      <c r="E175" s="24" t="str">
        <f aca="false">IF(B175="","",IFERROR(INDEX('Plan de Cuentas'!$C$5:$C$14,MATCH(B175,'Plan de Cuentas'!$B$5:$B$14,0)),"Cuenta no encontrada"))</f>
        <v/>
      </c>
    </row>
    <row r="176" customFormat="false" ht="15" hidden="false" customHeight="false" outlineLevel="0" collapsed="false">
      <c r="A176" s="22"/>
      <c r="B176" s="21"/>
      <c r="C176" s="21"/>
      <c r="D176" s="23"/>
      <c r="E176" s="24" t="str">
        <f aca="false">IF(B176="","",IFERROR(INDEX('Plan de Cuentas'!$C$5:$C$14,MATCH(B176,'Plan de Cuentas'!$B$5:$B$14,0)),"Cuenta no encontrada"))</f>
        <v/>
      </c>
    </row>
    <row r="177" customFormat="false" ht="15" hidden="false" customHeight="false" outlineLevel="0" collapsed="false">
      <c r="A177" s="22"/>
      <c r="B177" s="21"/>
      <c r="C177" s="21"/>
      <c r="D177" s="23"/>
      <c r="E177" s="24" t="str">
        <f aca="false">IF(B177="","",IFERROR(INDEX('Plan de Cuentas'!$C$5:$C$14,MATCH(B177,'Plan de Cuentas'!$B$5:$B$14,0)),"Cuenta no encontrada"))</f>
        <v/>
      </c>
    </row>
    <row r="178" customFormat="false" ht="15" hidden="false" customHeight="false" outlineLevel="0" collapsed="false">
      <c r="A178" s="22"/>
      <c r="B178" s="21"/>
      <c r="C178" s="21"/>
      <c r="D178" s="23"/>
      <c r="E178" s="24" t="str">
        <f aca="false">IF(B178="","",IFERROR(INDEX('Plan de Cuentas'!$C$5:$C$14,MATCH(B178,'Plan de Cuentas'!$B$5:$B$14,0)),"Cuenta no encontrada"))</f>
        <v/>
      </c>
    </row>
    <row r="179" customFormat="false" ht="15" hidden="false" customHeight="false" outlineLevel="0" collapsed="false">
      <c r="A179" s="22"/>
      <c r="B179" s="21"/>
      <c r="C179" s="21"/>
      <c r="D179" s="23"/>
      <c r="E179" s="24" t="str">
        <f aca="false">IF(B179="","",IFERROR(INDEX('Plan de Cuentas'!$C$5:$C$14,MATCH(B179,'Plan de Cuentas'!$B$5:$B$14,0)),"Cuenta no encontrada"))</f>
        <v/>
      </c>
    </row>
    <row r="180" customFormat="false" ht="15" hidden="false" customHeight="false" outlineLevel="0" collapsed="false">
      <c r="A180" s="22"/>
      <c r="B180" s="21"/>
      <c r="C180" s="21"/>
      <c r="D180" s="23"/>
      <c r="E180" s="24" t="str">
        <f aca="false">IF(B180="","",IFERROR(INDEX('Plan de Cuentas'!$C$5:$C$14,MATCH(B180,'Plan de Cuentas'!$B$5:$B$14,0)),"Cuenta no encontrada"))</f>
        <v/>
      </c>
    </row>
    <row r="181" customFormat="false" ht="15" hidden="false" customHeight="false" outlineLevel="0" collapsed="false">
      <c r="A181" s="22"/>
      <c r="B181" s="21"/>
      <c r="C181" s="21"/>
      <c r="D181" s="23"/>
      <c r="E181" s="24" t="str">
        <f aca="false">IF(B181="","",IFERROR(INDEX('Plan de Cuentas'!$C$5:$C$14,MATCH(B181,'Plan de Cuentas'!$B$5:$B$14,0)),"Cuenta no encontrada"))</f>
        <v/>
      </c>
    </row>
    <row r="182" customFormat="false" ht="15" hidden="false" customHeight="false" outlineLevel="0" collapsed="false">
      <c r="A182" s="22"/>
      <c r="B182" s="21"/>
      <c r="C182" s="21"/>
      <c r="D182" s="23"/>
      <c r="E182" s="24" t="str">
        <f aca="false">IF(B182="","",IFERROR(INDEX('Plan de Cuentas'!$C$5:$C$14,MATCH(B182,'Plan de Cuentas'!$B$5:$B$14,0)),"Cuenta no encontrada"))</f>
        <v/>
      </c>
    </row>
    <row r="183" customFormat="false" ht="15" hidden="false" customHeight="false" outlineLevel="0" collapsed="false">
      <c r="A183" s="22"/>
      <c r="B183" s="21"/>
      <c r="C183" s="21"/>
      <c r="D183" s="23"/>
      <c r="E183" s="24" t="str">
        <f aca="false">IF(B183="","",IFERROR(INDEX('Plan de Cuentas'!$C$5:$C$14,MATCH(B183,'Plan de Cuentas'!$B$5:$B$14,0)),"Cuenta no encontrada"))</f>
        <v/>
      </c>
    </row>
    <row r="184" customFormat="false" ht="15" hidden="false" customHeight="false" outlineLevel="0" collapsed="false">
      <c r="A184" s="22"/>
      <c r="B184" s="21"/>
      <c r="C184" s="21"/>
      <c r="D184" s="23"/>
      <c r="E184" s="24" t="str">
        <f aca="false">IF(B184="","",IFERROR(INDEX('Plan de Cuentas'!$C$5:$C$14,MATCH(B184,'Plan de Cuentas'!$B$5:$B$14,0)),"Cuenta no encontrada"))</f>
        <v/>
      </c>
    </row>
    <row r="185" customFormat="false" ht="15" hidden="false" customHeight="false" outlineLevel="0" collapsed="false">
      <c r="A185" s="22"/>
      <c r="B185" s="21"/>
      <c r="C185" s="21"/>
      <c r="D185" s="23"/>
      <c r="E185" s="24" t="str">
        <f aca="false">IF(B185="","",IFERROR(INDEX('Plan de Cuentas'!$C$5:$C$14,MATCH(B185,'Plan de Cuentas'!$B$5:$B$14,0)),"Cuenta no encontrada"))</f>
        <v/>
      </c>
    </row>
    <row r="186" customFormat="false" ht="15" hidden="false" customHeight="false" outlineLevel="0" collapsed="false">
      <c r="A186" s="22"/>
      <c r="B186" s="21"/>
      <c r="C186" s="21"/>
      <c r="D186" s="23"/>
      <c r="E186" s="24" t="str">
        <f aca="false">IF(B186="","",IFERROR(INDEX('Plan de Cuentas'!$C$5:$C$14,MATCH(B186,'Plan de Cuentas'!$B$5:$B$14,0)),"Cuenta no encontrada"))</f>
        <v/>
      </c>
    </row>
    <row r="187" customFormat="false" ht="15" hidden="false" customHeight="false" outlineLevel="0" collapsed="false">
      <c r="A187" s="22"/>
      <c r="B187" s="21"/>
      <c r="C187" s="21"/>
      <c r="D187" s="23"/>
      <c r="E187" s="24" t="str">
        <f aca="false">IF(B187="","",IFERROR(INDEX('Plan de Cuentas'!$C$5:$C$14,MATCH(B187,'Plan de Cuentas'!$B$5:$B$14,0)),"Cuenta no encontrada"))</f>
        <v/>
      </c>
    </row>
    <row r="188" customFormat="false" ht="15" hidden="false" customHeight="false" outlineLevel="0" collapsed="false">
      <c r="A188" s="22"/>
      <c r="B188" s="21"/>
      <c r="C188" s="21"/>
      <c r="D188" s="23"/>
      <c r="E188" s="24" t="str">
        <f aca="false">IF(B188="","",IFERROR(INDEX('Plan de Cuentas'!$C$5:$C$14,MATCH(B188,'Plan de Cuentas'!$B$5:$B$14,0)),"Cuenta no encontrada"))</f>
        <v/>
      </c>
    </row>
    <row r="189" customFormat="false" ht="15" hidden="false" customHeight="false" outlineLevel="0" collapsed="false">
      <c r="A189" s="22"/>
      <c r="B189" s="21"/>
      <c r="C189" s="21"/>
      <c r="D189" s="23"/>
      <c r="E189" s="24" t="str">
        <f aca="false">IF(B189="","",IFERROR(INDEX('Plan de Cuentas'!$C$5:$C$14,MATCH(B189,'Plan de Cuentas'!$B$5:$B$14,0)),"Cuenta no encontrada"))</f>
        <v/>
      </c>
    </row>
    <row r="190" customFormat="false" ht="15" hidden="false" customHeight="false" outlineLevel="0" collapsed="false">
      <c r="A190" s="22"/>
      <c r="B190" s="21"/>
      <c r="C190" s="21"/>
      <c r="D190" s="23"/>
      <c r="E190" s="24" t="str">
        <f aca="false">IF(B190="","",IFERROR(INDEX('Plan de Cuentas'!$C$5:$C$14,MATCH(B190,'Plan de Cuentas'!$B$5:$B$14,0)),"Cuenta no encontrada"))</f>
        <v/>
      </c>
    </row>
    <row r="191" customFormat="false" ht="15" hidden="false" customHeight="false" outlineLevel="0" collapsed="false">
      <c r="A191" s="22"/>
      <c r="B191" s="21"/>
      <c r="C191" s="21"/>
      <c r="D191" s="23"/>
      <c r="E191" s="24" t="str">
        <f aca="false">IF(B191="","",IFERROR(INDEX('Plan de Cuentas'!$C$5:$C$14,MATCH(B191,'Plan de Cuentas'!$B$5:$B$14,0)),"Cuenta no encontrada"))</f>
        <v/>
      </c>
    </row>
    <row r="192" customFormat="false" ht="15" hidden="false" customHeight="false" outlineLevel="0" collapsed="false">
      <c r="A192" s="22"/>
      <c r="B192" s="21"/>
      <c r="C192" s="21"/>
      <c r="D192" s="23"/>
      <c r="E192" s="24" t="str">
        <f aca="false">IF(B192="","",IFERROR(INDEX('Plan de Cuentas'!$C$5:$C$14,MATCH(B192,'Plan de Cuentas'!$B$5:$B$14,0)),"Cuenta no encontrada"))</f>
        <v/>
      </c>
    </row>
    <row r="193" customFormat="false" ht="15" hidden="false" customHeight="false" outlineLevel="0" collapsed="false">
      <c r="A193" s="22"/>
      <c r="B193" s="21"/>
      <c r="C193" s="21"/>
      <c r="D193" s="23"/>
      <c r="E193" s="24" t="str">
        <f aca="false">IF(B193="","",IFERROR(INDEX('Plan de Cuentas'!$C$5:$C$14,MATCH(B193,'Plan de Cuentas'!$B$5:$B$14,0)),"Cuenta no encontrada"))</f>
        <v/>
      </c>
    </row>
    <row r="194" customFormat="false" ht="15" hidden="false" customHeight="false" outlineLevel="0" collapsed="false">
      <c r="A194" s="22"/>
      <c r="B194" s="21"/>
      <c r="C194" s="21"/>
      <c r="D194" s="23"/>
      <c r="E194" s="24" t="str">
        <f aca="false">IF(B194="","",IFERROR(INDEX('Plan de Cuentas'!$C$5:$C$14,MATCH(B194,'Plan de Cuentas'!$B$5:$B$14,0)),"Cuenta no encontrada"))</f>
        <v/>
      </c>
    </row>
    <row r="195" customFormat="false" ht="15" hidden="false" customHeight="false" outlineLevel="0" collapsed="false">
      <c r="A195" s="22"/>
      <c r="B195" s="21"/>
      <c r="C195" s="21"/>
      <c r="D195" s="23"/>
      <c r="E195" s="24" t="str">
        <f aca="false">IF(B195="","",IFERROR(INDEX('Plan de Cuentas'!$C$5:$C$14,MATCH(B195,'Plan de Cuentas'!$B$5:$B$14,0)),"Cuenta no encontrada"))</f>
        <v/>
      </c>
    </row>
    <row r="196" customFormat="false" ht="15" hidden="false" customHeight="false" outlineLevel="0" collapsed="false">
      <c r="A196" s="22"/>
      <c r="B196" s="21"/>
      <c r="C196" s="21"/>
      <c r="D196" s="23"/>
      <c r="E196" s="24" t="str">
        <f aca="false">IF(B196="","",IFERROR(INDEX('Plan de Cuentas'!$C$5:$C$14,MATCH(B196,'Plan de Cuentas'!$B$5:$B$14,0)),"Cuenta no encontrada"))</f>
        <v/>
      </c>
    </row>
    <row r="197" customFormat="false" ht="15" hidden="false" customHeight="false" outlineLevel="0" collapsed="false">
      <c r="A197" s="22"/>
      <c r="B197" s="21"/>
      <c r="C197" s="21"/>
      <c r="D197" s="23"/>
      <c r="E197" s="24" t="str">
        <f aca="false">IF(B197="","",IFERROR(INDEX('Plan de Cuentas'!$C$5:$C$14,MATCH(B197,'Plan de Cuentas'!$B$5:$B$14,0)),"Cuenta no encontrada"))</f>
        <v/>
      </c>
    </row>
    <row r="198" customFormat="false" ht="15" hidden="false" customHeight="false" outlineLevel="0" collapsed="false">
      <c r="A198" s="22"/>
      <c r="B198" s="21"/>
      <c r="C198" s="21"/>
      <c r="D198" s="23"/>
      <c r="E198" s="24" t="str">
        <f aca="false">IF(B198="","",IFERROR(INDEX('Plan de Cuentas'!$C$5:$C$14,MATCH(B198,'Plan de Cuentas'!$B$5:$B$14,0)),"Cuenta no encontrada"))</f>
        <v/>
      </c>
    </row>
    <row r="199" customFormat="false" ht="15" hidden="false" customHeight="false" outlineLevel="0" collapsed="false">
      <c r="A199" s="22"/>
      <c r="B199" s="21"/>
      <c r="C199" s="21"/>
      <c r="D199" s="23"/>
      <c r="E199" s="24" t="str">
        <f aca="false">IF(B199="","",IFERROR(INDEX('Plan de Cuentas'!$C$5:$C$14,MATCH(B199,'Plan de Cuentas'!$B$5:$B$14,0)),"Cuenta no encontrada"))</f>
        <v/>
      </c>
    </row>
    <row r="200" customFormat="false" ht="15" hidden="false" customHeight="false" outlineLevel="0" collapsed="false">
      <c r="A200" s="22"/>
      <c r="B200" s="21"/>
      <c r="C200" s="21"/>
      <c r="D200" s="23"/>
      <c r="E200" s="24" t="str">
        <f aca="false">IF(B200="","",IFERROR(INDEX('Plan de Cuentas'!$C$5:$C$14,MATCH(B200,'Plan de Cuentas'!$B$5:$B$14,0)),"Cuenta no encontrada"))</f>
        <v/>
      </c>
    </row>
    <row r="201" customFormat="false" ht="15" hidden="false" customHeight="false" outlineLevel="0" collapsed="false">
      <c r="A201" s="22"/>
      <c r="B201" s="21"/>
      <c r="C201" s="21"/>
      <c r="D201" s="23"/>
      <c r="E201" s="24" t="str">
        <f aca="false">IF(B201="","",IFERROR(INDEX('Plan de Cuentas'!$C$5:$C$14,MATCH(B201,'Plan de Cuentas'!$B$5:$B$14,0)),"Cuenta no encontrada"))</f>
        <v/>
      </c>
    </row>
    <row r="202" customFormat="false" ht="15" hidden="false" customHeight="false" outlineLevel="0" collapsed="false">
      <c r="A202" s="22"/>
      <c r="B202" s="21"/>
      <c r="C202" s="21"/>
      <c r="D202" s="23"/>
      <c r="E202" s="24" t="str">
        <f aca="false">IF(B202="","",IFERROR(INDEX('Plan de Cuentas'!$C$5:$C$14,MATCH(B202,'Plan de Cuentas'!$B$5:$B$14,0)),"Cuenta no encontrada"))</f>
        <v/>
      </c>
    </row>
    <row r="203" customFormat="false" ht="15" hidden="false" customHeight="false" outlineLevel="0" collapsed="false">
      <c r="A203" s="22"/>
      <c r="B203" s="21"/>
      <c r="C203" s="21"/>
      <c r="D203" s="23"/>
      <c r="E203" s="24" t="str">
        <f aca="false">IF(B203="","",IFERROR(INDEX('Plan de Cuentas'!$C$5:$C$14,MATCH(B203,'Plan de Cuentas'!$B$5:$B$14,0)),"Cuenta no encontrada"))</f>
        <v/>
      </c>
    </row>
    <row r="204" customFormat="false" ht="15" hidden="false" customHeight="false" outlineLevel="0" collapsed="false">
      <c r="A204" s="22"/>
      <c r="B204" s="21"/>
      <c r="C204" s="21"/>
      <c r="D204" s="23"/>
      <c r="E204" s="24" t="str">
        <f aca="false">IF(B204="","",IFERROR(INDEX('Plan de Cuentas'!$C$5:$C$14,MATCH(B204,'Plan de Cuentas'!$B$5:$B$14,0)),"Cuenta no encontrada"))</f>
        <v/>
      </c>
    </row>
  </sheetData>
  <sheetProtection sheet="true" formatCells="false" formatColumns="false" formatRows="false" insertRows="false" selectLockedCells="true" selectUnlockedCells="true"/>
  <mergeCells count="2">
    <mergeCell ref="A2:E2"/>
    <mergeCell ref="A3:E3"/>
  </mergeCells>
  <dataValidations count="2">
    <dataValidation allowBlank="true" errorStyle="stop" operator="between" showDropDown="false" showErrorMessage="false" showInputMessage="false" sqref="B5:B204" type="list">
      <formula1>'Plan de Cuentas'!$B$5:$B$14</formula1>
      <formula2>0</formula2>
    </dataValidation>
    <dataValidation allowBlank="true" error="Ingresa un número igual o mayor a 0." errorStyle="stop" errorTitle="Monto inválido" operator="greaterThanOrEqual" showDropDown="false" showErrorMessage="true" showInputMessage="false" sqref="D5:D204" type="decimal">
      <formula1>0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N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13" min="2" style="0" width="11"/>
    <col collapsed="false" customWidth="true" hidden="false" outlineLevel="0" max="14" min="14" style="0" width="13"/>
  </cols>
  <sheetData>
    <row r="2" customFormat="false" ht="25.5" hidden="false" customHeight="true" outlineLevel="0" collapsed="false">
      <c r="A2" s="8" t="s">
        <v>108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customFormat="false" ht="15" hidden="false" customHeight="false" outlineLevel="0" collapsed="false">
      <c r="A3" s="7" t="str">
        <f aca="false">" Moneda: " &amp; Configuracion!$C$8 &amp; "   |   Año: " &amp; Configuracion!$C$9</f>
        <v> Moneda: Local   |   Año: 2026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5" customFormat="false" ht="19.5" hidden="false" customHeight="true" outlineLevel="0" collapsed="false">
      <c r="A5" s="10" t="s">
        <v>109</v>
      </c>
      <c r="B5" s="10" t="s">
        <v>110</v>
      </c>
      <c r="C5" s="10" t="s">
        <v>111</v>
      </c>
      <c r="D5" s="10" t="s">
        <v>112</v>
      </c>
      <c r="E5" s="10" t="s">
        <v>113</v>
      </c>
      <c r="F5" s="10" t="s">
        <v>114</v>
      </c>
      <c r="G5" s="10" t="s">
        <v>115</v>
      </c>
      <c r="H5" s="10" t="s">
        <v>116</v>
      </c>
      <c r="I5" s="10" t="s">
        <v>117</v>
      </c>
      <c r="J5" s="10" t="s">
        <v>118</v>
      </c>
      <c r="K5" s="10" t="s">
        <v>119</v>
      </c>
      <c r="L5" s="10" t="s">
        <v>120</v>
      </c>
      <c r="M5" s="10" t="s">
        <v>121</v>
      </c>
      <c r="N5" s="10" t="s">
        <v>122</v>
      </c>
    </row>
    <row r="6" customFormat="false" ht="15" hidden="false" customHeight="false" outlineLevel="0" collapsed="false">
      <c r="A6" s="25" t="s">
        <v>123</v>
      </c>
      <c r="B6" s="26" t="n">
        <f aca="false">SUMIFS(Transacciones!$D$5:$D$204,Transacciones!$E$5:$E$204,"Ingreso",Transacciones!$A$5:$A$204,"&gt;="&amp;DATE(Configuracion!$C$9,1,1),Transacciones!$A$5:$A$204,"&lt;="&amp;EOMONTH(DATE(Configuracion!$C$9,1,1),0))*Configuracion!$C$11</f>
        <v>4200</v>
      </c>
      <c r="C6" s="26" t="n">
        <f aca="false">SUMIFS(Transacciones!$D$5:$D$204,Transacciones!$E$5:$E$204,"Ingreso",Transacciones!$A$5:$A$204,"&gt;="&amp;DATE(Configuracion!$C$9,2,1),Transacciones!$A$5:$A$204,"&lt;="&amp;EOMONTH(DATE(Configuracion!$C$9,2,1),0))*Configuracion!$C$11</f>
        <v>5100</v>
      </c>
      <c r="D6" s="26" t="n">
        <f aca="false">SUMIFS(Transacciones!$D$5:$D$204,Transacciones!$E$5:$E$204,"Ingreso",Transacciones!$A$5:$A$204,"&gt;="&amp;DATE(Configuracion!$C$9,3,1),Transacciones!$A$5:$A$204,"&lt;="&amp;EOMONTH(DATE(Configuracion!$C$9,3,1),0))*Configuracion!$C$11</f>
        <v>4800</v>
      </c>
      <c r="E6" s="26" t="n">
        <f aca="false">SUMIFS(Transacciones!$D$5:$D$204,Transacciones!$E$5:$E$204,"Ingreso",Transacciones!$A$5:$A$204,"&gt;="&amp;DATE(Configuracion!$C$9,4,1),Transacciones!$A$5:$A$204,"&lt;="&amp;EOMONTH(DATE(Configuracion!$C$9,4,1),0))*Configuracion!$C$11</f>
        <v>0</v>
      </c>
      <c r="F6" s="26" t="n">
        <f aca="false">SUMIFS(Transacciones!$D$5:$D$204,Transacciones!$E$5:$E$204,"Ingreso",Transacciones!$A$5:$A$204,"&gt;="&amp;DATE(Configuracion!$C$9,5,1),Transacciones!$A$5:$A$204,"&lt;="&amp;EOMONTH(DATE(Configuracion!$C$9,5,1),0))*Configuracion!$C$11</f>
        <v>0</v>
      </c>
      <c r="G6" s="26" t="n">
        <f aca="false">SUMIFS(Transacciones!$D$5:$D$204,Transacciones!$E$5:$E$204,"Ingreso",Transacciones!$A$5:$A$204,"&gt;="&amp;DATE(Configuracion!$C$9,6,1),Transacciones!$A$5:$A$204,"&lt;="&amp;EOMONTH(DATE(Configuracion!$C$9,6,1),0))*Configuracion!$C$11</f>
        <v>0</v>
      </c>
      <c r="H6" s="26" t="n">
        <f aca="false">SUMIFS(Transacciones!$D$5:$D$204,Transacciones!$E$5:$E$204,"Ingreso",Transacciones!$A$5:$A$204,"&gt;="&amp;DATE(Configuracion!$C$9,7,1),Transacciones!$A$5:$A$204,"&lt;="&amp;EOMONTH(DATE(Configuracion!$C$9,7,1),0))*Configuracion!$C$11</f>
        <v>0</v>
      </c>
      <c r="I6" s="26" t="n">
        <f aca="false">SUMIFS(Transacciones!$D$5:$D$204,Transacciones!$E$5:$E$204,"Ingreso",Transacciones!$A$5:$A$204,"&gt;="&amp;DATE(Configuracion!$C$9,8,1),Transacciones!$A$5:$A$204,"&lt;="&amp;EOMONTH(DATE(Configuracion!$C$9,8,1),0))*Configuracion!$C$11</f>
        <v>0</v>
      </c>
      <c r="J6" s="26" t="n">
        <f aca="false">SUMIFS(Transacciones!$D$5:$D$204,Transacciones!$E$5:$E$204,"Ingreso",Transacciones!$A$5:$A$204,"&gt;="&amp;DATE(Configuracion!$C$9,9,1),Transacciones!$A$5:$A$204,"&lt;="&amp;EOMONTH(DATE(Configuracion!$C$9,9,1),0))*Configuracion!$C$11</f>
        <v>0</v>
      </c>
      <c r="K6" s="26" t="n">
        <f aca="false">SUMIFS(Transacciones!$D$5:$D$204,Transacciones!$E$5:$E$204,"Ingreso",Transacciones!$A$5:$A$204,"&gt;="&amp;DATE(Configuracion!$C$9,10,1),Transacciones!$A$5:$A$204,"&lt;="&amp;EOMONTH(DATE(Configuracion!$C$9,10,1),0))*Configuracion!$C$11</f>
        <v>0</v>
      </c>
      <c r="L6" s="26" t="n">
        <f aca="false">SUMIFS(Transacciones!$D$5:$D$204,Transacciones!$E$5:$E$204,"Ingreso",Transacciones!$A$5:$A$204,"&gt;="&amp;DATE(Configuracion!$C$9,11,1),Transacciones!$A$5:$A$204,"&lt;="&amp;EOMONTH(DATE(Configuracion!$C$9,11,1),0))*Configuracion!$C$11</f>
        <v>0</v>
      </c>
      <c r="M6" s="26" t="n">
        <f aca="false">SUMIFS(Transacciones!$D$5:$D$204,Transacciones!$E$5:$E$204,"Ingreso",Transacciones!$A$5:$A$204,"&gt;="&amp;DATE(Configuracion!$C$9,12,1),Transacciones!$A$5:$A$204,"&lt;="&amp;EOMONTH(DATE(Configuracion!$C$9,12,1),0))*Configuracion!$C$11</f>
        <v>0</v>
      </c>
      <c r="N6" s="27" t="n">
        <f aca="false">SUM(B6:M6)</f>
        <v>14100</v>
      </c>
    </row>
    <row r="7" customFormat="false" ht="15" hidden="false" customHeight="false" outlineLevel="0" collapsed="false">
      <c r="A7" s="25" t="s">
        <v>68</v>
      </c>
      <c r="B7" s="26" t="n">
        <f aca="false">SUMIFS(Transacciones!$D$5:$D$204,Transacciones!$E$5:$E$204,"Costo de venta",Transacciones!$A$5:$A$204,"&gt;="&amp;DATE(Configuracion!$C$9,1,1),Transacciones!$A$5:$A$204,"&lt;="&amp;EOMONTH(DATE(Configuracion!$C$9,1,1),0))*Configuracion!$C$11</f>
        <v>1800</v>
      </c>
      <c r="C7" s="26" t="n">
        <f aca="false">SUMIFS(Transacciones!$D$5:$D$204,Transacciones!$E$5:$E$204,"Costo de venta",Transacciones!$A$5:$A$204,"&gt;="&amp;DATE(Configuracion!$C$9,2,1),Transacciones!$A$5:$A$204,"&lt;="&amp;EOMONTH(DATE(Configuracion!$C$9,2,1),0))*Configuracion!$C$11</f>
        <v>1900</v>
      </c>
      <c r="D7" s="26" t="n">
        <f aca="false">SUMIFS(Transacciones!$D$5:$D$204,Transacciones!$E$5:$E$204,"Costo de venta",Transacciones!$A$5:$A$204,"&gt;="&amp;DATE(Configuracion!$C$9,3,1),Transacciones!$A$5:$A$204,"&lt;="&amp;EOMONTH(DATE(Configuracion!$C$9,3,1),0))*Configuracion!$C$11</f>
        <v>2000</v>
      </c>
      <c r="E7" s="26" t="n">
        <f aca="false">SUMIFS(Transacciones!$D$5:$D$204,Transacciones!$E$5:$E$204,"Costo de venta",Transacciones!$A$5:$A$204,"&gt;="&amp;DATE(Configuracion!$C$9,4,1),Transacciones!$A$5:$A$204,"&lt;="&amp;EOMONTH(DATE(Configuracion!$C$9,4,1),0))*Configuracion!$C$11</f>
        <v>0</v>
      </c>
      <c r="F7" s="26" t="n">
        <f aca="false">SUMIFS(Transacciones!$D$5:$D$204,Transacciones!$E$5:$E$204,"Costo de venta",Transacciones!$A$5:$A$204,"&gt;="&amp;DATE(Configuracion!$C$9,5,1),Transacciones!$A$5:$A$204,"&lt;="&amp;EOMONTH(DATE(Configuracion!$C$9,5,1),0))*Configuracion!$C$11</f>
        <v>0</v>
      </c>
      <c r="G7" s="26" t="n">
        <f aca="false">SUMIFS(Transacciones!$D$5:$D$204,Transacciones!$E$5:$E$204,"Costo de venta",Transacciones!$A$5:$A$204,"&gt;="&amp;DATE(Configuracion!$C$9,6,1),Transacciones!$A$5:$A$204,"&lt;="&amp;EOMONTH(DATE(Configuracion!$C$9,6,1),0))*Configuracion!$C$11</f>
        <v>0</v>
      </c>
      <c r="H7" s="26" t="n">
        <f aca="false">SUMIFS(Transacciones!$D$5:$D$204,Transacciones!$E$5:$E$204,"Costo de venta",Transacciones!$A$5:$A$204,"&gt;="&amp;DATE(Configuracion!$C$9,7,1),Transacciones!$A$5:$A$204,"&lt;="&amp;EOMONTH(DATE(Configuracion!$C$9,7,1),0))*Configuracion!$C$11</f>
        <v>0</v>
      </c>
      <c r="I7" s="26" t="n">
        <f aca="false">SUMIFS(Transacciones!$D$5:$D$204,Transacciones!$E$5:$E$204,"Costo de venta",Transacciones!$A$5:$A$204,"&gt;="&amp;DATE(Configuracion!$C$9,8,1),Transacciones!$A$5:$A$204,"&lt;="&amp;EOMONTH(DATE(Configuracion!$C$9,8,1),0))*Configuracion!$C$11</f>
        <v>0</v>
      </c>
      <c r="J7" s="26" t="n">
        <f aca="false">SUMIFS(Transacciones!$D$5:$D$204,Transacciones!$E$5:$E$204,"Costo de venta",Transacciones!$A$5:$A$204,"&gt;="&amp;DATE(Configuracion!$C$9,9,1),Transacciones!$A$5:$A$204,"&lt;="&amp;EOMONTH(DATE(Configuracion!$C$9,9,1),0))*Configuracion!$C$11</f>
        <v>0</v>
      </c>
      <c r="K7" s="26" t="n">
        <f aca="false">SUMIFS(Transacciones!$D$5:$D$204,Transacciones!$E$5:$E$204,"Costo de venta",Transacciones!$A$5:$A$204,"&gt;="&amp;DATE(Configuracion!$C$9,10,1),Transacciones!$A$5:$A$204,"&lt;="&amp;EOMONTH(DATE(Configuracion!$C$9,10,1),0))*Configuracion!$C$11</f>
        <v>0</v>
      </c>
      <c r="L7" s="26" t="n">
        <f aca="false">SUMIFS(Transacciones!$D$5:$D$204,Transacciones!$E$5:$E$204,"Costo de venta",Transacciones!$A$5:$A$204,"&gt;="&amp;DATE(Configuracion!$C$9,11,1),Transacciones!$A$5:$A$204,"&lt;="&amp;EOMONTH(DATE(Configuracion!$C$9,11,1),0))*Configuracion!$C$11</f>
        <v>0</v>
      </c>
      <c r="M7" s="26" t="n">
        <f aca="false">SUMIFS(Transacciones!$D$5:$D$204,Transacciones!$E$5:$E$204,"Costo de venta",Transacciones!$A$5:$A$204,"&gt;="&amp;DATE(Configuracion!$C$9,12,1),Transacciones!$A$5:$A$204,"&lt;="&amp;EOMONTH(DATE(Configuracion!$C$9,12,1),0))*Configuracion!$C$11</f>
        <v>0</v>
      </c>
      <c r="N7" s="27" t="n">
        <f aca="false">SUM(B7:M7)</f>
        <v>5700</v>
      </c>
    </row>
    <row r="8" customFormat="false" ht="15" hidden="false" customHeight="false" outlineLevel="0" collapsed="false">
      <c r="A8" s="28" t="s">
        <v>124</v>
      </c>
      <c r="B8" s="29" t="n">
        <f aca="false">B6-B7</f>
        <v>2400</v>
      </c>
      <c r="C8" s="29" t="n">
        <f aca="false">C6-C7</f>
        <v>3200</v>
      </c>
      <c r="D8" s="29" t="n">
        <f aca="false">D6-D7</f>
        <v>2800</v>
      </c>
      <c r="E8" s="29" t="n">
        <f aca="false">E6-E7</f>
        <v>0</v>
      </c>
      <c r="F8" s="29" t="n">
        <f aca="false">F6-F7</f>
        <v>0</v>
      </c>
      <c r="G8" s="29" t="n">
        <f aca="false">G6-G7</f>
        <v>0</v>
      </c>
      <c r="H8" s="29" t="n">
        <f aca="false">H6-H7</f>
        <v>0</v>
      </c>
      <c r="I8" s="29" t="n">
        <f aca="false">I6-I7</f>
        <v>0</v>
      </c>
      <c r="J8" s="29" t="n">
        <f aca="false">J6-J7</f>
        <v>0</v>
      </c>
      <c r="K8" s="29" t="n">
        <f aca="false">K6-K7</f>
        <v>0</v>
      </c>
      <c r="L8" s="29" t="n">
        <f aca="false">L6-L7</f>
        <v>0</v>
      </c>
      <c r="M8" s="29" t="n">
        <f aca="false">M6-M7</f>
        <v>0</v>
      </c>
      <c r="N8" s="29" t="n">
        <f aca="false">N6-N7</f>
        <v>8400</v>
      </c>
    </row>
    <row r="9" customFormat="false" ht="15" hidden="false" customHeight="false" outlineLevel="0" collapsed="false">
      <c r="A9" s="25" t="s">
        <v>125</v>
      </c>
      <c r="B9" s="26" t="n">
        <f aca="false">SUMIFS(Transacciones!$D$5:$D$204,Transacciones!$E$5:$E$204,"Gasto operativo",Transacciones!$A$5:$A$204,"&gt;="&amp;DATE(Configuracion!$C$9,1,1),Transacciones!$A$5:$A$204,"&lt;="&amp;EOMONTH(DATE(Configuracion!$C$9,1,1),0))*Configuracion!$C$11</f>
        <v>2180</v>
      </c>
      <c r="C9" s="26" t="n">
        <f aca="false">SUMIFS(Transacciones!$D$5:$D$204,Transacciones!$E$5:$E$204,"Gasto operativo",Transacciones!$A$5:$A$204,"&gt;="&amp;DATE(Configuracion!$C$9,2,1),Transacciones!$A$5:$A$204,"&lt;="&amp;EOMONTH(DATE(Configuracion!$C$9,2,1),0))*Configuracion!$C$11</f>
        <v>2000</v>
      </c>
      <c r="D9" s="26" t="n">
        <f aca="false">SUMIFS(Transacciones!$D$5:$D$204,Transacciones!$E$5:$E$204,"Gasto operativo",Transacciones!$A$5:$A$204,"&gt;="&amp;DATE(Configuracion!$C$9,3,1),Transacciones!$A$5:$A$204,"&lt;="&amp;EOMONTH(DATE(Configuracion!$C$9,3,1),0))*Configuracion!$C$11</f>
        <v>2000</v>
      </c>
      <c r="E9" s="26" t="n">
        <f aca="false">SUMIFS(Transacciones!$D$5:$D$204,Transacciones!$E$5:$E$204,"Gasto operativo",Transacciones!$A$5:$A$204,"&gt;="&amp;DATE(Configuracion!$C$9,4,1),Transacciones!$A$5:$A$204,"&lt;="&amp;EOMONTH(DATE(Configuracion!$C$9,4,1),0))*Configuracion!$C$11</f>
        <v>0</v>
      </c>
      <c r="F9" s="26" t="n">
        <f aca="false">SUMIFS(Transacciones!$D$5:$D$204,Transacciones!$E$5:$E$204,"Gasto operativo",Transacciones!$A$5:$A$204,"&gt;="&amp;DATE(Configuracion!$C$9,5,1),Transacciones!$A$5:$A$204,"&lt;="&amp;EOMONTH(DATE(Configuracion!$C$9,5,1),0))*Configuracion!$C$11</f>
        <v>0</v>
      </c>
      <c r="G9" s="26" t="n">
        <f aca="false">SUMIFS(Transacciones!$D$5:$D$204,Transacciones!$E$5:$E$204,"Gasto operativo",Transacciones!$A$5:$A$204,"&gt;="&amp;DATE(Configuracion!$C$9,6,1),Transacciones!$A$5:$A$204,"&lt;="&amp;EOMONTH(DATE(Configuracion!$C$9,6,1),0))*Configuracion!$C$11</f>
        <v>0</v>
      </c>
      <c r="H9" s="26" t="n">
        <f aca="false">SUMIFS(Transacciones!$D$5:$D$204,Transacciones!$E$5:$E$204,"Gasto operativo",Transacciones!$A$5:$A$204,"&gt;="&amp;DATE(Configuracion!$C$9,7,1),Transacciones!$A$5:$A$204,"&lt;="&amp;EOMONTH(DATE(Configuracion!$C$9,7,1),0))*Configuracion!$C$11</f>
        <v>0</v>
      </c>
      <c r="I9" s="26" t="n">
        <f aca="false">SUMIFS(Transacciones!$D$5:$D$204,Transacciones!$E$5:$E$204,"Gasto operativo",Transacciones!$A$5:$A$204,"&gt;="&amp;DATE(Configuracion!$C$9,8,1),Transacciones!$A$5:$A$204,"&lt;="&amp;EOMONTH(DATE(Configuracion!$C$9,8,1),0))*Configuracion!$C$11</f>
        <v>0</v>
      </c>
      <c r="J9" s="26" t="n">
        <f aca="false">SUMIFS(Transacciones!$D$5:$D$204,Transacciones!$E$5:$E$204,"Gasto operativo",Transacciones!$A$5:$A$204,"&gt;="&amp;DATE(Configuracion!$C$9,9,1),Transacciones!$A$5:$A$204,"&lt;="&amp;EOMONTH(DATE(Configuracion!$C$9,9,1),0))*Configuracion!$C$11</f>
        <v>0</v>
      </c>
      <c r="K9" s="26" t="n">
        <f aca="false">SUMIFS(Transacciones!$D$5:$D$204,Transacciones!$E$5:$E$204,"Gasto operativo",Transacciones!$A$5:$A$204,"&gt;="&amp;DATE(Configuracion!$C$9,10,1),Transacciones!$A$5:$A$204,"&lt;="&amp;EOMONTH(DATE(Configuracion!$C$9,10,1),0))*Configuracion!$C$11</f>
        <v>0</v>
      </c>
      <c r="L9" s="26" t="n">
        <f aca="false">SUMIFS(Transacciones!$D$5:$D$204,Transacciones!$E$5:$E$204,"Gasto operativo",Transacciones!$A$5:$A$204,"&gt;="&amp;DATE(Configuracion!$C$9,11,1),Transacciones!$A$5:$A$204,"&lt;="&amp;EOMONTH(DATE(Configuracion!$C$9,11,1),0))*Configuracion!$C$11</f>
        <v>0</v>
      </c>
      <c r="M9" s="26" t="n">
        <f aca="false">SUMIFS(Transacciones!$D$5:$D$204,Transacciones!$E$5:$E$204,"Gasto operativo",Transacciones!$A$5:$A$204,"&gt;="&amp;DATE(Configuracion!$C$9,12,1),Transacciones!$A$5:$A$204,"&lt;="&amp;EOMONTH(DATE(Configuracion!$C$9,12,1),0))*Configuracion!$C$11</f>
        <v>0</v>
      </c>
      <c r="N9" s="27" t="n">
        <f aca="false">SUM(B9:M9)</f>
        <v>6180</v>
      </c>
    </row>
    <row r="10" customFormat="false" ht="15" hidden="false" customHeight="false" outlineLevel="0" collapsed="false">
      <c r="A10" s="25" t="s">
        <v>126</v>
      </c>
      <c r="B10" s="26" t="n">
        <f aca="false">SUMIFS(Transacciones!$D$5:$D$204,Transacciones!$E$5:$E$204,"Gasto administrativo",Transacciones!$A$5:$A$204,"&gt;="&amp;DATE(Configuracion!$C$9,1,1),Transacciones!$A$5:$A$204,"&lt;="&amp;EOMONTH(DATE(Configuracion!$C$9,1,1),0))*Configuracion!$C$11</f>
        <v>250</v>
      </c>
      <c r="C10" s="26" t="n">
        <f aca="false">SUMIFS(Transacciones!$D$5:$D$204,Transacciones!$E$5:$E$204,"Gasto administrativo",Transacciones!$A$5:$A$204,"&gt;="&amp;DATE(Configuracion!$C$9,2,1),Transacciones!$A$5:$A$204,"&lt;="&amp;EOMONTH(DATE(Configuracion!$C$9,2,1),0))*Configuracion!$C$11</f>
        <v>60</v>
      </c>
      <c r="D10" s="26" t="n">
        <f aca="false">SUMIFS(Transacciones!$D$5:$D$204,Transacciones!$E$5:$E$204,"Gasto administrativo",Transacciones!$A$5:$A$204,"&gt;="&amp;DATE(Configuracion!$C$9,3,1),Transacciones!$A$5:$A$204,"&lt;="&amp;EOMONTH(DATE(Configuracion!$C$9,3,1),0))*Configuracion!$C$11</f>
        <v>300</v>
      </c>
      <c r="E10" s="26" t="n">
        <f aca="false">SUMIFS(Transacciones!$D$5:$D$204,Transacciones!$E$5:$E$204,"Gasto administrativo",Transacciones!$A$5:$A$204,"&gt;="&amp;DATE(Configuracion!$C$9,4,1),Transacciones!$A$5:$A$204,"&lt;="&amp;EOMONTH(DATE(Configuracion!$C$9,4,1),0))*Configuracion!$C$11</f>
        <v>0</v>
      </c>
      <c r="F10" s="26" t="n">
        <f aca="false">SUMIFS(Transacciones!$D$5:$D$204,Transacciones!$E$5:$E$204,"Gasto administrativo",Transacciones!$A$5:$A$204,"&gt;="&amp;DATE(Configuracion!$C$9,5,1),Transacciones!$A$5:$A$204,"&lt;="&amp;EOMONTH(DATE(Configuracion!$C$9,5,1),0))*Configuracion!$C$11</f>
        <v>0</v>
      </c>
      <c r="G10" s="26" t="n">
        <f aca="false">SUMIFS(Transacciones!$D$5:$D$204,Transacciones!$E$5:$E$204,"Gasto administrativo",Transacciones!$A$5:$A$204,"&gt;="&amp;DATE(Configuracion!$C$9,6,1),Transacciones!$A$5:$A$204,"&lt;="&amp;EOMONTH(DATE(Configuracion!$C$9,6,1),0))*Configuracion!$C$11</f>
        <v>0</v>
      </c>
      <c r="H10" s="26" t="n">
        <f aca="false">SUMIFS(Transacciones!$D$5:$D$204,Transacciones!$E$5:$E$204,"Gasto administrativo",Transacciones!$A$5:$A$204,"&gt;="&amp;DATE(Configuracion!$C$9,7,1),Transacciones!$A$5:$A$204,"&lt;="&amp;EOMONTH(DATE(Configuracion!$C$9,7,1),0))*Configuracion!$C$11</f>
        <v>0</v>
      </c>
      <c r="I10" s="26" t="n">
        <f aca="false">SUMIFS(Transacciones!$D$5:$D$204,Transacciones!$E$5:$E$204,"Gasto administrativo",Transacciones!$A$5:$A$204,"&gt;="&amp;DATE(Configuracion!$C$9,8,1),Transacciones!$A$5:$A$204,"&lt;="&amp;EOMONTH(DATE(Configuracion!$C$9,8,1),0))*Configuracion!$C$11</f>
        <v>0</v>
      </c>
      <c r="J10" s="26" t="n">
        <f aca="false">SUMIFS(Transacciones!$D$5:$D$204,Transacciones!$E$5:$E$204,"Gasto administrativo",Transacciones!$A$5:$A$204,"&gt;="&amp;DATE(Configuracion!$C$9,9,1),Transacciones!$A$5:$A$204,"&lt;="&amp;EOMONTH(DATE(Configuracion!$C$9,9,1),0))*Configuracion!$C$11</f>
        <v>0</v>
      </c>
      <c r="K10" s="26" t="n">
        <f aca="false">SUMIFS(Transacciones!$D$5:$D$204,Transacciones!$E$5:$E$204,"Gasto administrativo",Transacciones!$A$5:$A$204,"&gt;="&amp;DATE(Configuracion!$C$9,10,1),Transacciones!$A$5:$A$204,"&lt;="&amp;EOMONTH(DATE(Configuracion!$C$9,10,1),0))*Configuracion!$C$11</f>
        <v>0</v>
      </c>
      <c r="L10" s="26" t="n">
        <f aca="false">SUMIFS(Transacciones!$D$5:$D$204,Transacciones!$E$5:$E$204,"Gasto administrativo",Transacciones!$A$5:$A$204,"&gt;="&amp;DATE(Configuracion!$C$9,11,1),Transacciones!$A$5:$A$204,"&lt;="&amp;EOMONTH(DATE(Configuracion!$C$9,11,1),0))*Configuracion!$C$11</f>
        <v>0</v>
      </c>
      <c r="M10" s="26" t="n">
        <f aca="false">SUMIFS(Transacciones!$D$5:$D$204,Transacciones!$E$5:$E$204,"Gasto administrativo",Transacciones!$A$5:$A$204,"&gt;="&amp;DATE(Configuracion!$C$9,12,1),Transacciones!$A$5:$A$204,"&lt;="&amp;EOMONTH(DATE(Configuracion!$C$9,12,1),0))*Configuracion!$C$11</f>
        <v>0</v>
      </c>
      <c r="N10" s="27" t="n">
        <f aca="false">SUM(B10:M10)</f>
        <v>610</v>
      </c>
    </row>
    <row r="11" customFormat="false" ht="15" hidden="false" customHeight="false" outlineLevel="0" collapsed="false">
      <c r="A11" s="28" t="s">
        <v>127</v>
      </c>
      <c r="B11" s="29" t="n">
        <f aca="false">B8-B9-B10</f>
        <v>-30</v>
      </c>
      <c r="C11" s="29" t="n">
        <f aca="false">C8-C9-C10</f>
        <v>1140</v>
      </c>
      <c r="D11" s="29" t="n">
        <f aca="false">D8-D9-D10</f>
        <v>500</v>
      </c>
      <c r="E11" s="29" t="n">
        <f aca="false">E8-E9-E10</f>
        <v>0</v>
      </c>
      <c r="F11" s="29" t="n">
        <f aca="false">F8-F9-F10</f>
        <v>0</v>
      </c>
      <c r="G11" s="29" t="n">
        <f aca="false">G8-G9-G10</f>
        <v>0</v>
      </c>
      <c r="H11" s="29" t="n">
        <f aca="false">H8-H9-H10</f>
        <v>0</v>
      </c>
      <c r="I11" s="29" t="n">
        <f aca="false">I8-I9-I10</f>
        <v>0</v>
      </c>
      <c r="J11" s="29" t="n">
        <f aca="false">J8-J9-J10</f>
        <v>0</v>
      </c>
      <c r="K11" s="29" t="n">
        <f aca="false">K8-K9-K10</f>
        <v>0</v>
      </c>
      <c r="L11" s="29" t="n">
        <f aca="false">L8-L9-L10</f>
        <v>0</v>
      </c>
      <c r="M11" s="29" t="n">
        <f aca="false">M8-M9-M10</f>
        <v>0</v>
      </c>
      <c r="N11" s="29" t="n">
        <f aca="false">N8-N9-N10</f>
        <v>1610</v>
      </c>
    </row>
    <row r="12" customFormat="false" ht="15" hidden="false" customHeight="false" outlineLevel="0" collapsed="false">
      <c r="A12" s="25" t="s">
        <v>128</v>
      </c>
      <c r="B12" s="26" t="n">
        <f aca="false">SUMIFS(Transacciones!$D$5:$D$204,Transacciones!$E$5:$E$204,"Gasto financiero",Transacciones!$A$5:$A$204,"&gt;="&amp;DATE(Configuracion!$C$9,1,1),Transacciones!$A$5:$A$204,"&lt;="&amp;EOMONTH(DATE(Configuracion!$C$9,1,1),0))*Configuracion!$C$11</f>
        <v>40</v>
      </c>
      <c r="C12" s="26" t="n">
        <f aca="false">SUMIFS(Transacciones!$D$5:$D$204,Transacciones!$E$5:$E$204,"Gasto financiero",Transacciones!$A$5:$A$204,"&gt;="&amp;DATE(Configuracion!$C$9,2,1),Transacciones!$A$5:$A$204,"&lt;="&amp;EOMONTH(DATE(Configuracion!$C$9,2,1),0))*Configuracion!$C$11</f>
        <v>0</v>
      </c>
      <c r="D12" s="26" t="n">
        <f aca="false">SUMIFS(Transacciones!$D$5:$D$204,Transacciones!$E$5:$E$204,"Gasto financiero",Transacciones!$A$5:$A$204,"&gt;="&amp;DATE(Configuracion!$C$9,3,1),Transacciones!$A$5:$A$204,"&lt;="&amp;EOMONTH(DATE(Configuracion!$C$9,3,1),0))*Configuracion!$C$11</f>
        <v>0</v>
      </c>
      <c r="E12" s="26" t="n">
        <f aca="false">SUMIFS(Transacciones!$D$5:$D$204,Transacciones!$E$5:$E$204,"Gasto financiero",Transacciones!$A$5:$A$204,"&gt;="&amp;DATE(Configuracion!$C$9,4,1),Transacciones!$A$5:$A$204,"&lt;="&amp;EOMONTH(DATE(Configuracion!$C$9,4,1),0))*Configuracion!$C$11</f>
        <v>0</v>
      </c>
      <c r="F12" s="26" t="n">
        <f aca="false">SUMIFS(Transacciones!$D$5:$D$204,Transacciones!$E$5:$E$204,"Gasto financiero",Transacciones!$A$5:$A$204,"&gt;="&amp;DATE(Configuracion!$C$9,5,1),Transacciones!$A$5:$A$204,"&lt;="&amp;EOMONTH(DATE(Configuracion!$C$9,5,1),0))*Configuracion!$C$11</f>
        <v>0</v>
      </c>
      <c r="G12" s="26" t="n">
        <f aca="false">SUMIFS(Transacciones!$D$5:$D$204,Transacciones!$E$5:$E$204,"Gasto financiero",Transacciones!$A$5:$A$204,"&gt;="&amp;DATE(Configuracion!$C$9,6,1),Transacciones!$A$5:$A$204,"&lt;="&amp;EOMONTH(DATE(Configuracion!$C$9,6,1),0))*Configuracion!$C$11</f>
        <v>0</v>
      </c>
      <c r="H12" s="26" t="n">
        <f aca="false">SUMIFS(Transacciones!$D$5:$D$204,Transacciones!$E$5:$E$204,"Gasto financiero",Transacciones!$A$5:$A$204,"&gt;="&amp;DATE(Configuracion!$C$9,7,1),Transacciones!$A$5:$A$204,"&lt;="&amp;EOMONTH(DATE(Configuracion!$C$9,7,1),0))*Configuracion!$C$11</f>
        <v>0</v>
      </c>
      <c r="I12" s="26" t="n">
        <f aca="false">SUMIFS(Transacciones!$D$5:$D$204,Transacciones!$E$5:$E$204,"Gasto financiero",Transacciones!$A$5:$A$204,"&gt;="&amp;DATE(Configuracion!$C$9,8,1),Transacciones!$A$5:$A$204,"&lt;="&amp;EOMONTH(DATE(Configuracion!$C$9,8,1),0))*Configuracion!$C$11</f>
        <v>0</v>
      </c>
      <c r="J12" s="26" t="n">
        <f aca="false">SUMIFS(Transacciones!$D$5:$D$204,Transacciones!$E$5:$E$204,"Gasto financiero",Transacciones!$A$5:$A$204,"&gt;="&amp;DATE(Configuracion!$C$9,9,1),Transacciones!$A$5:$A$204,"&lt;="&amp;EOMONTH(DATE(Configuracion!$C$9,9,1),0))*Configuracion!$C$11</f>
        <v>0</v>
      </c>
      <c r="K12" s="26" t="n">
        <f aca="false">SUMIFS(Transacciones!$D$5:$D$204,Transacciones!$E$5:$E$204,"Gasto financiero",Transacciones!$A$5:$A$204,"&gt;="&amp;DATE(Configuracion!$C$9,10,1),Transacciones!$A$5:$A$204,"&lt;="&amp;EOMONTH(DATE(Configuracion!$C$9,10,1),0))*Configuracion!$C$11</f>
        <v>0</v>
      </c>
      <c r="L12" s="26" t="n">
        <f aca="false">SUMIFS(Transacciones!$D$5:$D$204,Transacciones!$E$5:$E$204,"Gasto financiero",Transacciones!$A$5:$A$204,"&gt;="&amp;DATE(Configuracion!$C$9,11,1),Transacciones!$A$5:$A$204,"&lt;="&amp;EOMONTH(DATE(Configuracion!$C$9,11,1),0))*Configuracion!$C$11</f>
        <v>0</v>
      </c>
      <c r="M12" s="26" t="n">
        <f aca="false">SUMIFS(Transacciones!$D$5:$D$204,Transacciones!$E$5:$E$204,"Gasto financiero",Transacciones!$A$5:$A$204,"&gt;="&amp;DATE(Configuracion!$C$9,12,1),Transacciones!$A$5:$A$204,"&lt;="&amp;EOMONTH(DATE(Configuracion!$C$9,12,1),0))*Configuracion!$C$11</f>
        <v>0</v>
      </c>
      <c r="N12" s="27" t="n">
        <f aca="false">SUM(B12:M12)</f>
        <v>40</v>
      </c>
    </row>
    <row r="13" customFormat="false" ht="15" hidden="false" customHeight="false" outlineLevel="0" collapsed="false">
      <c r="A13" s="25" t="s">
        <v>129</v>
      </c>
      <c r="B13" s="26" t="n">
        <f aca="false">SUMIFS(Transacciones!$D$5:$D$204,Transacciones!$E$5:$E$204,"Impuesto",Transacciones!$A$5:$A$204,"&gt;="&amp;DATE(Configuracion!$C$9,1,1),Transacciones!$A$5:$A$204,"&lt;="&amp;EOMONTH(DATE(Configuracion!$C$9,1,1),0))*Configuracion!$C$11</f>
        <v>0</v>
      </c>
      <c r="C13" s="26" t="n">
        <f aca="false">SUMIFS(Transacciones!$D$5:$D$204,Transacciones!$E$5:$E$204,"Impuesto",Transacciones!$A$5:$A$204,"&gt;="&amp;DATE(Configuracion!$C$9,2,1),Transacciones!$A$5:$A$204,"&lt;="&amp;EOMONTH(DATE(Configuracion!$C$9,2,1),0))*Configuracion!$C$11</f>
        <v>300</v>
      </c>
      <c r="D13" s="26" t="n">
        <f aca="false">SUMIFS(Transacciones!$D$5:$D$204,Transacciones!$E$5:$E$204,"Impuesto",Transacciones!$A$5:$A$204,"&gt;="&amp;DATE(Configuracion!$C$9,3,1),Transacciones!$A$5:$A$204,"&lt;="&amp;EOMONTH(DATE(Configuracion!$C$9,3,1),0))*Configuracion!$C$11</f>
        <v>320</v>
      </c>
      <c r="E13" s="26" t="n">
        <f aca="false">SUMIFS(Transacciones!$D$5:$D$204,Transacciones!$E$5:$E$204,"Impuesto",Transacciones!$A$5:$A$204,"&gt;="&amp;DATE(Configuracion!$C$9,4,1),Transacciones!$A$5:$A$204,"&lt;="&amp;EOMONTH(DATE(Configuracion!$C$9,4,1),0))*Configuracion!$C$11</f>
        <v>0</v>
      </c>
      <c r="F13" s="26" t="n">
        <f aca="false">SUMIFS(Transacciones!$D$5:$D$204,Transacciones!$E$5:$E$204,"Impuesto",Transacciones!$A$5:$A$204,"&gt;="&amp;DATE(Configuracion!$C$9,5,1),Transacciones!$A$5:$A$204,"&lt;="&amp;EOMONTH(DATE(Configuracion!$C$9,5,1),0))*Configuracion!$C$11</f>
        <v>0</v>
      </c>
      <c r="G13" s="26" t="n">
        <f aca="false">SUMIFS(Transacciones!$D$5:$D$204,Transacciones!$E$5:$E$204,"Impuesto",Transacciones!$A$5:$A$204,"&gt;="&amp;DATE(Configuracion!$C$9,6,1),Transacciones!$A$5:$A$204,"&lt;="&amp;EOMONTH(DATE(Configuracion!$C$9,6,1),0))*Configuracion!$C$11</f>
        <v>0</v>
      </c>
      <c r="H13" s="26" t="n">
        <f aca="false">SUMIFS(Transacciones!$D$5:$D$204,Transacciones!$E$5:$E$204,"Impuesto",Transacciones!$A$5:$A$204,"&gt;="&amp;DATE(Configuracion!$C$9,7,1),Transacciones!$A$5:$A$204,"&lt;="&amp;EOMONTH(DATE(Configuracion!$C$9,7,1),0))*Configuracion!$C$11</f>
        <v>0</v>
      </c>
      <c r="I13" s="26" t="n">
        <f aca="false">SUMIFS(Transacciones!$D$5:$D$204,Transacciones!$E$5:$E$204,"Impuesto",Transacciones!$A$5:$A$204,"&gt;="&amp;DATE(Configuracion!$C$9,8,1),Transacciones!$A$5:$A$204,"&lt;="&amp;EOMONTH(DATE(Configuracion!$C$9,8,1),0))*Configuracion!$C$11</f>
        <v>0</v>
      </c>
      <c r="J13" s="26" t="n">
        <f aca="false">SUMIFS(Transacciones!$D$5:$D$204,Transacciones!$E$5:$E$204,"Impuesto",Transacciones!$A$5:$A$204,"&gt;="&amp;DATE(Configuracion!$C$9,9,1),Transacciones!$A$5:$A$204,"&lt;="&amp;EOMONTH(DATE(Configuracion!$C$9,9,1),0))*Configuracion!$C$11</f>
        <v>0</v>
      </c>
      <c r="K13" s="26" t="n">
        <f aca="false">SUMIFS(Transacciones!$D$5:$D$204,Transacciones!$E$5:$E$204,"Impuesto",Transacciones!$A$5:$A$204,"&gt;="&amp;DATE(Configuracion!$C$9,10,1),Transacciones!$A$5:$A$204,"&lt;="&amp;EOMONTH(DATE(Configuracion!$C$9,10,1),0))*Configuracion!$C$11</f>
        <v>0</v>
      </c>
      <c r="L13" s="26" t="n">
        <f aca="false">SUMIFS(Transacciones!$D$5:$D$204,Transacciones!$E$5:$E$204,"Impuesto",Transacciones!$A$5:$A$204,"&gt;="&amp;DATE(Configuracion!$C$9,11,1),Transacciones!$A$5:$A$204,"&lt;="&amp;EOMONTH(DATE(Configuracion!$C$9,11,1),0))*Configuracion!$C$11</f>
        <v>0</v>
      </c>
      <c r="M13" s="26" t="n">
        <f aca="false">SUMIFS(Transacciones!$D$5:$D$204,Transacciones!$E$5:$E$204,"Impuesto",Transacciones!$A$5:$A$204,"&gt;="&amp;DATE(Configuracion!$C$9,12,1),Transacciones!$A$5:$A$204,"&lt;="&amp;EOMONTH(DATE(Configuracion!$C$9,12,1),0))*Configuracion!$C$11</f>
        <v>0</v>
      </c>
      <c r="N13" s="27" t="n">
        <f aca="false">SUM(B13:M13)</f>
        <v>620</v>
      </c>
    </row>
    <row r="14" customFormat="false" ht="15" hidden="false" customHeight="false" outlineLevel="0" collapsed="false">
      <c r="A14" s="28" t="s">
        <v>130</v>
      </c>
      <c r="B14" s="29" t="n">
        <f aca="false">B11-B12-B13</f>
        <v>-70</v>
      </c>
      <c r="C14" s="29" t="n">
        <f aca="false">C11-C12-C13</f>
        <v>840</v>
      </c>
      <c r="D14" s="29" t="n">
        <f aca="false">D11-D12-D13</f>
        <v>180</v>
      </c>
      <c r="E14" s="29" t="n">
        <f aca="false">E11-E12-E13</f>
        <v>0</v>
      </c>
      <c r="F14" s="29" t="n">
        <f aca="false">F11-F12-F13</f>
        <v>0</v>
      </c>
      <c r="G14" s="29" t="n">
        <f aca="false">G11-G12-G13</f>
        <v>0</v>
      </c>
      <c r="H14" s="29" t="n">
        <f aca="false">H11-H12-H13</f>
        <v>0</v>
      </c>
      <c r="I14" s="29" t="n">
        <f aca="false">I11-I12-I13</f>
        <v>0</v>
      </c>
      <c r="J14" s="29" t="n">
        <f aca="false">J11-J12-J13</f>
        <v>0</v>
      </c>
      <c r="K14" s="29" t="n">
        <f aca="false">K11-K12-K13</f>
        <v>0</v>
      </c>
      <c r="L14" s="29" t="n">
        <f aca="false">L11-L12-L13</f>
        <v>0</v>
      </c>
      <c r="M14" s="29" t="n">
        <f aca="false">M11-M12-M13</f>
        <v>0</v>
      </c>
      <c r="N14" s="29" t="n">
        <f aca="false">N11-N12-N13</f>
        <v>950</v>
      </c>
    </row>
    <row r="16" customFormat="false" ht="15" hidden="false" customHeight="false" outlineLevel="0" collapsed="false">
      <c r="A16" s="30" t="s">
        <v>131</v>
      </c>
      <c r="B16" s="31" t="n">
        <f aca="false">IF(B6=0,0,B8/B6)</f>
        <v>0.571428571428571</v>
      </c>
      <c r="C16" s="31" t="n">
        <f aca="false">IF(C6=0,0,C8/C6)</f>
        <v>0.627450980392157</v>
      </c>
      <c r="D16" s="31" t="n">
        <f aca="false">IF(D6=0,0,D8/D6)</f>
        <v>0.583333333333333</v>
      </c>
      <c r="E16" s="31" t="n">
        <f aca="false">IF(E6=0,0,E8/E6)</f>
        <v>0</v>
      </c>
      <c r="F16" s="31" t="n">
        <f aca="false">IF(F6=0,0,F8/F6)</f>
        <v>0</v>
      </c>
      <c r="G16" s="31" t="n">
        <f aca="false">IF(G6=0,0,G8/G6)</f>
        <v>0</v>
      </c>
      <c r="H16" s="31" t="n">
        <f aca="false">IF(H6=0,0,H8/H6)</f>
        <v>0</v>
      </c>
      <c r="I16" s="31" t="n">
        <f aca="false">IF(I6=0,0,I8/I6)</f>
        <v>0</v>
      </c>
      <c r="J16" s="31" t="n">
        <f aca="false">IF(J6=0,0,J8/J6)</f>
        <v>0</v>
      </c>
      <c r="K16" s="31" t="n">
        <f aca="false">IF(K6=0,0,K8/K6)</f>
        <v>0</v>
      </c>
      <c r="L16" s="31" t="n">
        <f aca="false">IF(L6=0,0,L8/L6)</f>
        <v>0</v>
      </c>
      <c r="M16" s="31" t="n">
        <f aca="false">IF(M6=0,0,M8/M6)</f>
        <v>0</v>
      </c>
      <c r="N16" s="31" t="n">
        <f aca="false">IF(N6=0,0,N8/N6)</f>
        <v>0.595744680851064</v>
      </c>
    </row>
    <row r="17" customFormat="false" ht="15" hidden="false" customHeight="false" outlineLevel="0" collapsed="false">
      <c r="A17" s="30" t="s">
        <v>132</v>
      </c>
      <c r="B17" s="31" t="n">
        <f aca="false">IF(B6=0,0,B14/B6)</f>
        <v>-0.0166666666666667</v>
      </c>
      <c r="C17" s="31" t="n">
        <f aca="false">IF(C6=0,0,C14/C6)</f>
        <v>0.164705882352941</v>
      </c>
      <c r="D17" s="31" t="n">
        <f aca="false">IF(D6=0,0,D14/D6)</f>
        <v>0.0375</v>
      </c>
      <c r="E17" s="31" t="n">
        <f aca="false">IF(E6=0,0,E14/E6)</f>
        <v>0</v>
      </c>
      <c r="F17" s="31" t="n">
        <f aca="false">IF(F6=0,0,F14/F6)</f>
        <v>0</v>
      </c>
      <c r="G17" s="31" t="n">
        <f aca="false">IF(G6=0,0,G14/G6)</f>
        <v>0</v>
      </c>
      <c r="H17" s="31" t="n">
        <f aca="false">IF(H6=0,0,H14/H6)</f>
        <v>0</v>
      </c>
      <c r="I17" s="31" t="n">
        <f aca="false">IF(I6=0,0,I14/I6)</f>
        <v>0</v>
      </c>
      <c r="J17" s="31" t="n">
        <f aca="false">IF(J6=0,0,J14/J6)</f>
        <v>0</v>
      </c>
      <c r="K17" s="31" t="n">
        <f aca="false">IF(K6=0,0,K14/K6)</f>
        <v>0</v>
      </c>
      <c r="L17" s="31" t="n">
        <f aca="false">IF(L6=0,0,L14/L6)</f>
        <v>0</v>
      </c>
      <c r="M17" s="31" t="n">
        <f aca="false">IF(M6=0,0,M14/M6)</f>
        <v>0</v>
      </c>
      <c r="N17" s="31" t="n">
        <f aca="false">IF(N6=0,0,N14/N6)</f>
        <v>0.0673758865248227</v>
      </c>
    </row>
  </sheetData>
  <sheetProtection sheet="true" formatCells="false" formatColumns="false" formatRows="false" insertRows="false" selectLockedCells="true" selectUnlockedCells="true"/>
  <mergeCells count="2">
    <mergeCell ref="A2:N2"/>
    <mergeCell ref="A3:N3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L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8" min="2" style="0" width="16"/>
    <col collapsed="false" customWidth="true" hidden="false" outlineLevel="0" max="9" min="9" style="0" width="3"/>
    <col collapsed="false" customWidth="true" hidden="true" outlineLevel="0" max="12" min="11" style="0" width="13"/>
  </cols>
  <sheetData>
    <row r="2" customFormat="false" ht="27.75" hidden="false" customHeight="true" outlineLevel="0" collapsed="false">
      <c r="B2" s="8" t="s">
        <v>133</v>
      </c>
      <c r="C2" s="8"/>
      <c r="D2" s="8"/>
      <c r="E2" s="8"/>
      <c r="F2" s="8"/>
      <c r="G2" s="8"/>
      <c r="H2" s="8"/>
    </row>
    <row r="3" customFormat="false" ht="15" hidden="false" customHeight="false" outlineLevel="0" collapsed="false">
      <c r="B3" s="7" t="str">
        <f aca="false">" Moneda: " &amp; Configuracion!$C$8 &amp; "   |   Año: " &amp; Configuracion!$C$9</f>
        <v> Moneda: Local   |   Año: 2026</v>
      </c>
      <c r="C3" s="7"/>
      <c r="D3" s="7"/>
      <c r="E3" s="7"/>
      <c r="F3" s="7"/>
      <c r="G3" s="7"/>
      <c r="H3" s="7"/>
    </row>
    <row r="4" customFormat="false" ht="15" hidden="false" customHeight="false" outlineLevel="0" collapsed="false">
      <c r="K4" s="0" t="s">
        <v>60</v>
      </c>
      <c r="L4" s="0" t="s">
        <v>92</v>
      </c>
    </row>
    <row r="5" customFormat="false" ht="18" hidden="false" customHeight="true" outlineLevel="0" collapsed="false">
      <c r="B5" s="32" t="s">
        <v>134</v>
      </c>
      <c r="C5" s="32"/>
      <c r="D5" s="33" t="s">
        <v>124</v>
      </c>
      <c r="E5" s="33"/>
      <c r="F5" s="34" t="s">
        <v>130</v>
      </c>
      <c r="G5" s="34"/>
      <c r="H5" s="35" t="s">
        <v>135</v>
      </c>
      <c r="I5" s="35"/>
      <c r="K5" s="36" t="s">
        <v>68</v>
      </c>
      <c r="L5" s="37" t="n">
        <f aca="false">'Estado de Resultados'!N7</f>
        <v>5700</v>
      </c>
    </row>
    <row r="6" customFormat="false" ht="21.75" hidden="false" customHeight="true" outlineLevel="0" collapsed="false">
      <c r="B6" s="38" t="str">
        <f aca="false">Configuracion!$C$12&amp;" "&amp;TEXT('Estado de Resultados'!N6,"#,##0.00")</f>
        <v>S/ 14,100.00</v>
      </c>
      <c r="C6" s="38"/>
      <c r="D6" s="39" t="str">
        <f aca="false">Configuracion!$C$12&amp;" "&amp;TEXT('Estado de Resultados'!N8,"#,##0.00")</f>
        <v>S/ 8,400.00</v>
      </c>
      <c r="E6" s="39"/>
      <c r="F6" s="40" t="str">
        <f aca="false">Configuracion!$C$12&amp;" "&amp;TEXT('Estado de Resultados'!N14,"#,##0.00")</f>
        <v>S/ 950.00</v>
      </c>
      <c r="G6" s="40"/>
      <c r="H6" s="41" t="str">
        <f aca="false">IF('Estado de Resultados'!N6=0,"0.0%",TEXT('Estado de Resultados'!N14/'Estado de Resultados'!N6,"0.0%"))</f>
        <v>6.7%</v>
      </c>
      <c r="I6" s="41"/>
      <c r="K6" s="36" t="s">
        <v>125</v>
      </c>
      <c r="L6" s="37" t="n">
        <f aca="false">'Estado de Resultados'!N9</f>
        <v>6180</v>
      </c>
    </row>
    <row r="7" customFormat="false" ht="21.75" hidden="false" customHeight="true" outlineLevel="0" collapsed="false">
      <c r="B7" s="38"/>
      <c r="C7" s="38"/>
      <c r="D7" s="39"/>
      <c r="E7" s="39"/>
      <c r="F7" s="40"/>
      <c r="G7" s="40"/>
      <c r="H7" s="41"/>
      <c r="I7" s="41"/>
      <c r="K7" s="36" t="s">
        <v>126</v>
      </c>
      <c r="L7" s="37" t="n">
        <f aca="false">'Estado de Resultados'!N10</f>
        <v>610</v>
      </c>
    </row>
    <row r="8" customFormat="false" ht="15" hidden="false" customHeight="false" outlineLevel="0" collapsed="false">
      <c r="K8" s="0" t="s">
        <v>128</v>
      </c>
      <c r="L8" s="37" t="n">
        <f aca="false">'Estado de Resultados'!N12</f>
        <v>40</v>
      </c>
    </row>
    <row r="9" customFormat="false" ht="15" hidden="false" customHeight="false" outlineLevel="0" collapsed="false">
      <c r="K9" s="0" t="s">
        <v>129</v>
      </c>
      <c r="L9" s="37" t="n">
        <f aca="false">'Estado de Resultados'!N13</f>
        <v>620</v>
      </c>
    </row>
  </sheetData>
  <sheetProtection sheet="true" formatCells="false" formatColumns="false" formatRows="false" insertRows="false" selectLockedCells="true" selectUnlockedCells="true"/>
  <mergeCells count="10">
    <mergeCell ref="B2:H2"/>
    <mergeCell ref="B3:H3"/>
    <mergeCell ref="B5:C5"/>
    <mergeCell ref="D5:E5"/>
    <mergeCell ref="F5:G5"/>
    <mergeCell ref="H5:I5"/>
    <mergeCell ref="B6:C7"/>
    <mergeCell ref="D6:E7"/>
    <mergeCell ref="F6:G7"/>
    <mergeCell ref="H6:I7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2026-09-18T14:53:57Z</dcterms:created>
  <dc:creator>openpyxl</dc:creator>
  <dc:description/>
  <dc:language>en-US</dc:language>
  <cp:lastModifiedBy/>
  <dcterms:modified xsi:type="dcterms:W3CDTF">2026-09-18T14:54:31Z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